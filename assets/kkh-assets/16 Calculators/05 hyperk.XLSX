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Volumes/MASTERPPT/BabyBearApp 21nov16/CRISIS algorithms/"/>
    </mc:Choice>
  </mc:AlternateContent>
  <bookViews>
    <workbookView xWindow="0" yWindow="460" windowWidth="25600" windowHeight="14340" tabRatio="500" activeTab="2"/>
  </bookViews>
  <sheets>
    <sheet name="Sheet1" sheetId="1" r:id="rId1"/>
    <sheet name="Sheet3" sheetId="3" r:id="rId2"/>
    <sheet name="Sheet2" sheetId="2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2" l="1"/>
  <c r="F57" i="2"/>
  <c r="F54" i="2"/>
  <c r="F47" i="2"/>
  <c r="F39" i="2"/>
  <c r="F33" i="2"/>
</calcChain>
</file>

<file path=xl/sharedStrings.xml><?xml version="1.0" encoding="utf-8"?>
<sst xmlns="http://schemas.openxmlformats.org/spreadsheetml/2006/main" count="152" uniqueCount="103">
  <si>
    <t>EMERGENCY MANAGEMENT OF HYPERKALAEMIA IN CHILDREN &amp; NEONATES</t>
  </si>
  <si>
    <t>Inclusion Criteria</t>
  </si>
  <si>
    <t>Exclusion Criteria</t>
  </si>
  <si>
    <t>Premature Neonates</t>
  </si>
  <si>
    <t>MANAGEMENT ALGORITHM</t>
  </si>
  <si>
    <t>Perform ECG immediately when possible</t>
  </si>
  <si>
    <t>Review all medications/ infusions</t>
  </si>
  <si>
    <t>5.5- 6.0</t>
  </si>
  <si>
    <t>6.1- 6.9</t>
  </si>
  <si>
    <t>consider Dextrose/Insulin</t>
  </si>
  <si>
    <t>IV Dextrose/Insulin</t>
  </si>
  <si>
    <t>consider NaHCO3 (if PH &lt; 7.2)</t>
  </si>
  <si>
    <t>Calcium Chloride or Calcium Gluconate</t>
  </si>
  <si>
    <t>Salbutamol nebuliser (if possible)</t>
  </si>
  <si>
    <t>Salbuatamol nebuliser (if possible)</t>
  </si>
  <si>
    <t>IV Dextrose /Insulin</t>
  </si>
  <si>
    <t>Initial Treatment</t>
  </si>
  <si>
    <t>1. continue monitoring</t>
  </si>
  <si>
    <t>reevaluate cause</t>
  </si>
  <si>
    <t>serum K+ (mmol/L)</t>
  </si>
  <si>
    <t>Term NEONATE (&lt; 1 month age): serum K+ &gt; 6 mmol/L</t>
  </si>
  <si>
    <t>Children &gt; 1 month age: serum K+ &gt;5.5 mmol/L</t>
  </si>
  <si>
    <t>EMERGENCY MANAGEMENT OF HYPAEKALAEMIA IN CHILDREN &amp; NEONATES</t>
  </si>
  <si>
    <t>exclude:</t>
  </si>
  <si>
    <t>Burn or Crush injury</t>
  </si>
  <si>
    <t>Rhabdomyolysis</t>
  </si>
  <si>
    <t>Succinylchholine</t>
  </si>
  <si>
    <t>Malignant Hyperthermia</t>
  </si>
  <si>
    <t>Renal Failure</t>
  </si>
  <si>
    <t>Declare Emergency</t>
  </si>
  <si>
    <t>Call for help</t>
  </si>
  <si>
    <t>Discontinue ALL K+ containing infusions</t>
  </si>
  <si>
    <t>Discontinue blood products</t>
  </si>
  <si>
    <t>Hyperventilate with 100% oxygen</t>
  </si>
  <si>
    <t>send rpt K+ to lab</t>
  </si>
  <si>
    <t>obtain ECG</t>
  </si>
  <si>
    <t>start CPR if haemodynamically unstable</t>
  </si>
  <si>
    <t>UNITS</t>
  </si>
  <si>
    <t>ROUTE</t>
  </si>
  <si>
    <t>IV</t>
  </si>
  <si>
    <t>AMOUNT</t>
  </si>
  <si>
    <t>IU</t>
  </si>
  <si>
    <t>DOSE/KG BODY WEIGHT</t>
  </si>
  <si>
    <t>REMARKS</t>
  </si>
  <si>
    <t>1 IU to every 5 g glucose</t>
  </si>
  <si>
    <t>MAX: 10 IU per dose</t>
  </si>
  <si>
    <t>check H/C; may cause hypoglycaemia</t>
  </si>
  <si>
    <t>may be repeated</t>
  </si>
  <si>
    <t>ONSET</t>
  </si>
  <si>
    <t>DURATION</t>
  </si>
  <si>
    <t>4-6 h</t>
  </si>
  <si>
    <t>15-20 min</t>
  </si>
  <si>
    <t>administer in 1 IU/ML dilution</t>
  </si>
  <si>
    <t>Regular Insulin (Actrapid)</t>
  </si>
  <si>
    <t>2. without delaying therapy, consider:</t>
  </si>
  <si>
    <t>3. Inititate Treatment</t>
  </si>
  <si>
    <t>Dextrose 10%</t>
  </si>
  <si>
    <t>ML</t>
  </si>
  <si>
    <t>administer together with INSULIN</t>
  </si>
  <si>
    <t>administer together with insulin</t>
  </si>
  <si>
    <t>10% Calcium Gluconate</t>
  </si>
  <si>
    <t>10% Calcium Chloride</t>
  </si>
  <si>
    <t>5- 10 min</t>
  </si>
  <si>
    <t>30- 60 min</t>
  </si>
  <si>
    <t>may cause hypercalcaemia &amp; tissue necrosis</t>
  </si>
  <si>
    <t>8.4% NaHCO3</t>
  </si>
  <si>
    <t>give over 10 min</t>
  </si>
  <si>
    <t>DO NOT mix with Calcium</t>
  </si>
  <si>
    <t>Max: 50 mmol/dose</t>
  </si>
  <si>
    <t>1-2 H</t>
  </si>
  <si>
    <t>15 min</t>
  </si>
  <si>
    <t>Dextrose 50%</t>
  </si>
  <si>
    <t>Salbutamol 0.5% solution</t>
  </si>
  <si>
    <t>Nebulise with 8 L oxygen :</t>
  </si>
  <si>
    <t>&lt; 25 KG:</t>
  </si>
  <si>
    <t>2.5 MG in 4 ML of NS Q1-2H</t>
  </si>
  <si>
    <t>&gt; 25 KG:</t>
  </si>
  <si>
    <t>5 MG in 4 ML of NS Q1-2H</t>
  </si>
  <si>
    <t>✓</t>
  </si>
  <si>
    <t>NEXT</t>
  </si>
  <si>
    <t>Review: K+ improving</t>
  </si>
  <si>
    <t>Review: K+ NOT improving</t>
  </si>
  <si>
    <t xml:space="preserve">&gt; 7.0 </t>
  </si>
  <si>
    <t>if K+ &gt; 6, escalate level of Mx</t>
  </si>
  <si>
    <t>if K+ &gt; 6.9, escalate level of Mx</t>
  </si>
  <si>
    <t xml:space="preserve"> → rpt Calcium</t>
  </si>
  <si>
    <t xml:space="preserve"> → consider CRRT</t>
  </si>
  <si>
    <t>If ECG changes persist:</t>
  </si>
  <si>
    <t xml:space="preserve"> → rpt salbutamol</t>
  </si>
  <si>
    <t>2. if K+ still 5.5- 6.0:</t>
  </si>
  <si>
    <t xml:space="preserve"> start IV Dextrose/Insulin </t>
  </si>
  <si>
    <t>→ rpt salbuatamol</t>
  </si>
  <si>
    <t>2. if K+ still 5.5- 6.9 :</t>
  </si>
  <si>
    <t>→ rpt  IV Dextrose/Insulin</t>
  </si>
  <si>
    <t>2. if K+ still 5.5- 6.9:</t>
  </si>
  <si>
    <t>→ rpt IV Dextrose/Insulin</t>
  </si>
  <si>
    <t>BACK</t>
  </si>
  <si>
    <t>enter Body WEIGHT (KG) =</t>
  </si>
  <si>
    <t>CRISIS LIST</t>
  </si>
  <si>
    <r>
      <t xml:space="preserve">administer </t>
    </r>
    <r>
      <rPr>
        <sz val="12"/>
        <color rgb="FFC00000"/>
        <rFont val="Calibri (Body)"/>
      </rPr>
      <t xml:space="preserve">via large bore peripheral IV </t>
    </r>
  </si>
  <si>
    <t>or central venous access</t>
  </si>
  <si>
    <t>1. DO (tick list):</t>
  </si>
  <si>
    <t>administer together with DEXTROSE (10% or 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</si>
</sst>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C00000"/>
      <name val="Calibri (Body)"/>
    </font>
    <font>
      <sz val="12"/>
      <color rgb="FFC00000"/>
      <name val="Calibri"/>
      <family val="2"/>
      <scheme val="minor"/>
    </font>
    <font>
      <b/>
      <sz val="14"/>
      <color rgb="FFC00000"/>
      <name val="Calibri"/>
      <scheme val="minor"/>
    </font>
    <font>
      <sz val="14"/>
      <color rgb="FFC00000"/>
      <name val="Calibri (Body)"/>
    </font>
    <font>
      <sz val="14"/>
      <color rgb="FFC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theme="8" tint="-0.249977111117893"/>
      <name val="Calibri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color theme="8" tint="-0.249977111117893"/>
      <name val="Calibri (Body)"/>
    </font>
    <font>
      <sz val="12"/>
      <color rgb="FFC00000"/>
      <name val="Calibri (Body)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8" xfId="0" applyBorder="1"/>
    <xf numFmtId="0" fontId="0" fillId="0" borderId="2" xfId="0" applyBorder="1"/>
    <xf numFmtId="0" fontId="0" fillId="0" borderId="11" xfId="0" applyBorder="1"/>
    <xf numFmtId="0" fontId="0" fillId="0" borderId="0" xfId="0" applyBorder="1" applyAlignment="1">
      <alignment vertical="top"/>
    </xf>
    <xf numFmtId="0" fontId="0" fillId="0" borderId="0" xfId="0" applyFill="1" applyBorder="1"/>
    <xf numFmtId="0" fontId="0" fillId="0" borderId="1" xfId="0" applyBorder="1"/>
    <xf numFmtId="0" fontId="0" fillId="0" borderId="13" xfId="0" applyBorder="1"/>
    <xf numFmtId="0" fontId="1" fillId="0" borderId="0" xfId="0" applyFont="1"/>
    <xf numFmtId="0" fontId="1" fillId="0" borderId="0" xfId="0" applyFont="1" applyBorder="1"/>
    <xf numFmtId="0" fontId="1" fillId="0" borderId="0" xfId="0" applyFont="1" applyBorder="1"/>
    <xf numFmtId="0" fontId="0" fillId="0" borderId="15" xfId="0" applyBorder="1"/>
    <xf numFmtId="0" fontId="0" fillId="0" borderId="16" xfId="0" applyBorder="1"/>
    <xf numFmtId="0" fontId="1" fillId="0" borderId="16" xfId="0" applyFont="1" applyBorder="1"/>
    <xf numFmtId="0" fontId="1" fillId="0" borderId="1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0" xfId="0" applyFont="1" applyBorder="1"/>
    <xf numFmtId="0" fontId="0" fillId="0" borderId="1" xfId="0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0" fontId="3" fillId="0" borderId="14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vertical="top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horizontal="center" vertical="top"/>
    </xf>
    <xf numFmtId="0" fontId="9" fillId="0" borderId="0" xfId="0" applyFont="1"/>
    <xf numFmtId="0" fontId="10" fillId="0" borderId="19" xfId="1" applyFont="1" applyBorder="1" applyAlignment="1">
      <alignment horizontal="center"/>
    </xf>
    <xf numFmtId="0" fontId="1" fillId="0" borderId="1" xfId="0" applyFont="1" applyBorder="1"/>
    <xf numFmtId="0" fontId="10" fillId="0" borderId="0" xfId="1" applyFont="1"/>
    <xf numFmtId="0" fontId="0" fillId="0" borderId="0" xfId="0" applyBorder="1"/>
    <xf numFmtId="0" fontId="1" fillId="0" borderId="0" xfId="0" applyFont="1" applyBorder="1"/>
    <xf numFmtId="0" fontId="0" fillId="0" borderId="0" xfId="0" applyBorder="1"/>
    <xf numFmtId="0" fontId="0" fillId="0" borderId="8" xfId="0" applyBorder="1"/>
    <xf numFmtId="0" fontId="1" fillId="0" borderId="0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8" xfId="0" applyFill="1" applyBorder="1"/>
    <xf numFmtId="0" fontId="0" fillId="0" borderId="9" xfId="0" applyFill="1" applyBorder="1"/>
    <xf numFmtId="0" fontId="8" fillId="0" borderId="0" xfId="0" applyFont="1" applyAlignment="1">
      <alignment horizontal="center"/>
    </xf>
    <xf numFmtId="0" fontId="8" fillId="0" borderId="20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5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15" xfId="0" applyFont="1" applyBorder="1"/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1" fillId="0" borderId="0" xfId="0" applyFont="1" applyBorder="1"/>
    <xf numFmtId="0" fontId="1" fillId="0" borderId="10" xfId="0" applyFont="1" applyBorder="1"/>
    <xf numFmtId="0" fontId="1" fillId="0" borderId="12" xfId="0" applyFont="1" applyBorder="1"/>
    <xf numFmtId="0" fontId="2" fillId="0" borderId="17" xfId="0" applyFont="1" applyBorder="1"/>
    <xf numFmtId="0" fontId="0" fillId="0" borderId="18" xfId="0" applyBorder="1"/>
    <xf numFmtId="0" fontId="4" fillId="0" borderId="17" xfId="0" applyFont="1" applyBorder="1"/>
    <xf numFmtId="0" fontId="4" fillId="0" borderId="18" xfId="0" applyFont="1" applyBorder="1"/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9" xfId="0" applyBorder="1" applyAlignment="1">
      <alignment vertical="top"/>
    </xf>
    <xf numFmtId="0" fontId="3" fillId="0" borderId="18" xfId="0" applyFont="1" applyBorder="1"/>
    <xf numFmtId="0" fontId="1" fillId="0" borderId="11" xfId="0" applyFont="1" applyBorder="1"/>
    <xf numFmtId="0" fontId="12" fillId="0" borderId="5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2" fillId="0" borderId="7" xfId="0" applyFont="1" applyBorder="1"/>
    <xf numFmtId="0" fontId="12" fillId="0" borderId="10" xfId="0" applyFont="1" applyBorder="1"/>
    <xf numFmtId="0" fontId="11" fillId="0" borderId="0" xfId="0" applyFont="1" applyAlignment="1">
      <alignment horizontal="center"/>
    </xf>
    <xf numFmtId="0" fontId="0" fillId="0" borderId="0" xfId="0"/>
    <xf numFmtId="0" fontId="1" fillId="0" borderId="0" xfId="0" applyFont="1" applyFill="1" applyBorder="1"/>
    <xf numFmtId="0" fontId="1" fillId="0" borderId="18" xfId="0" applyFont="1" applyBorder="1"/>
    <xf numFmtId="0" fontId="1" fillId="0" borderId="0" xfId="0" applyFont="1"/>
    <xf numFmtId="0" fontId="12" fillId="0" borderId="5" xfId="0" applyFont="1" applyBorder="1"/>
    <xf numFmtId="0" fontId="12" fillId="0" borderId="0" xfId="0" applyFont="1" applyBorder="1"/>
    <xf numFmtId="0" fontId="12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about:blank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8"/>
  <sheetViews>
    <sheetView workbookViewId="0">
      <selection activeCell="I1" sqref="I1"/>
    </sheetView>
  </sheetViews>
  <sheetFormatPr baseColWidth="10" defaultRowHeight="16" x14ac:dyDescent="0.2"/>
  <sheetData>
    <row r="1" spans="2:9" ht="19" x14ac:dyDescent="0.25">
      <c r="B1" s="62" t="s">
        <v>0</v>
      </c>
      <c r="C1" s="62"/>
      <c r="D1" s="62"/>
      <c r="E1" s="62"/>
      <c r="F1" s="62"/>
      <c r="G1" s="62"/>
      <c r="H1" s="63"/>
      <c r="I1" s="43" t="s">
        <v>79</v>
      </c>
    </row>
    <row r="4" spans="2:9" x14ac:dyDescent="0.2">
      <c r="B4" s="70" t="s">
        <v>1</v>
      </c>
      <c r="C4" s="71"/>
      <c r="D4" s="71"/>
      <c r="E4" s="71"/>
      <c r="F4" s="72"/>
      <c r="G4" s="70" t="s">
        <v>2</v>
      </c>
      <c r="H4" s="72"/>
    </row>
    <row r="5" spans="2:9" x14ac:dyDescent="0.2">
      <c r="B5" s="55" t="s">
        <v>20</v>
      </c>
      <c r="C5" s="56"/>
      <c r="D5" s="56"/>
      <c r="E5" s="56"/>
      <c r="F5" s="57"/>
      <c r="G5" s="55" t="s">
        <v>3</v>
      </c>
      <c r="H5" s="57"/>
    </row>
    <row r="6" spans="2:9" x14ac:dyDescent="0.2">
      <c r="B6" s="64" t="s">
        <v>21</v>
      </c>
      <c r="C6" s="73"/>
      <c r="D6" s="73"/>
      <c r="E6" s="73"/>
      <c r="F6" s="65"/>
      <c r="G6" s="64"/>
      <c r="H6" s="65"/>
    </row>
    <row r="10" spans="2:9" x14ac:dyDescent="0.2">
      <c r="B10" s="67" t="s">
        <v>4</v>
      </c>
      <c r="C10" s="68"/>
      <c r="D10" s="68"/>
      <c r="E10" s="68"/>
      <c r="F10" s="68"/>
      <c r="G10" s="68"/>
      <c r="H10" s="69"/>
    </row>
    <row r="11" spans="2:9" x14ac:dyDescent="0.2">
      <c r="B11" s="55" t="s">
        <v>5</v>
      </c>
      <c r="C11" s="56"/>
      <c r="D11" s="56"/>
      <c r="E11" s="56"/>
      <c r="F11" s="56"/>
      <c r="G11" s="56"/>
      <c r="H11" s="57"/>
    </row>
    <row r="12" spans="2:9" x14ac:dyDescent="0.2">
      <c r="B12" s="66" t="s">
        <v>6</v>
      </c>
      <c r="C12" s="58"/>
      <c r="D12" s="58"/>
      <c r="E12" s="58"/>
      <c r="F12" s="58"/>
      <c r="G12" s="58"/>
      <c r="H12" s="59"/>
    </row>
    <row r="13" spans="2:9" x14ac:dyDescent="0.2">
      <c r="B13" s="53" t="s">
        <v>23</v>
      </c>
      <c r="C13" s="58" t="s">
        <v>24</v>
      </c>
      <c r="D13" s="58"/>
      <c r="E13" s="58"/>
      <c r="F13" s="58"/>
      <c r="G13" s="58"/>
      <c r="H13" s="59"/>
    </row>
    <row r="14" spans="2:9" x14ac:dyDescent="0.2">
      <c r="B14" s="53"/>
      <c r="C14" s="58" t="s">
        <v>25</v>
      </c>
      <c r="D14" s="58"/>
      <c r="E14" s="58"/>
      <c r="F14" s="58"/>
      <c r="G14" s="58"/>
      <c r="H14" s="59"/>
    </row>
    <row r="15" spans="2:9" x14ac:dyDescent="0.2">
      <c r="B15" s="53"/>
      <c r="C15" s="58" t="s">
        <v>26</v>
      </c>
      <c r="D15" s="58"/>
      <c r="E15" s="58"/>
      <c r="F15" s="58"/>
      <c r="G15" s="58"/>
      <c r="H15" s="59"/>
    </row>
    <row r="16" spans="2:9" x14ac:dyDescent="0.2">
      <c r="B16" s="53"/>
      <c r="C16" s="51" t="s">
        <v>27</v>
      </c>
      <c r="D16" s="51"/>
      <c r="E16" s="51"/>
      <c r="F16" s="51"/>
      <c r="G16" s="51"/>
      <c r="H16" s="52"/>
    </row>
    <row r="17" spans="2:12" x14ac:dyDescent="0.2">
      <c r="B17" s="54"/>
      <c r="C17" s="60" t="s">
        <v>28</v>
      </c>
      <c r="D17" s="60"/>
      <c r="E17" s="60"/>
      <c r="F17" s="60"/>
      <c r="G17" s="60"/>
      <c r="H17" s="61"/>
    </row>
    <row r="20" spans="2:12" x14ac:dyDescent="0.2">
      <c r="H20" s="35"/>
    </row>
    <row r="21" spans="2:12" x14ac:dyDescent="0.2">
      <c r="H21" s="35"/>
    </row>
    <row r="22" spans="2:12" x14ac:dyDescent="0.2">
      <c r="B22" s="20"/>
      <c r="C22" s="7"/>
      <c r="D22" s="36"/>
      <c r="E22" s="36"/>
      <c r="F22" s="36"/>
      <c r="G22" s="36"/>
      <c r="H22" s="36"/>
      <c r="I22" s="36"/>
      <c r="J22" s="36"/>
      <c r="K22" s="36"/>
      <c r="L22" s="36"/>
    </row>
    <row r="23" spans="2:12" x14ac:dyDescent="0.2">
      <c r="B23" s="20"/>
      <c r="C23" s="7"/>
      <c r="D23" s="36"/>
      <c r="E23" s="36"/>
      <c r="F23" s="36"/>
      <c r="G23" s="36"/>
      <c r="H23" s="36"/>
      <c r="I23" s="36"/>
      <c r="J23" s="36"/>
      <c r="K23" s="36"/>
      <c r="L23" s="36"/>
    </row>
    <row r="24" spans="2:12" x14ac:dyDescent="0.2">
      <c r="B24" s="37"/>
      <c r="C24" s="14"/>
      <c r="D24" s="7"/>
      <c r="E24" s="7"/>
      <c r="F24" s="7"/>
      <c r="G24" s="7"/>
      <c r="H24" s="7"/>
      <c r="I24" s="7"/>
      <c r="J24" s="7"/>
      <c r="K24" s="7"/>
      <c r="L24" s="7"/>
    </row>
    <row r="25" spans="2:12" x14ac:dyDescent="0.2">
      <c r="B25" s="14"/>
      <c r="C25" s="14"/>
      <c r="D25" s="7"/>
      <c r="E25" s="7"/>
      <c r="F25" s="7"/>
      <c r="G25" s="7"/>
      <c r="H25" s="7"/>
      <c r="I25" s="7"/>
      <c r="J25" s="7"/>
      <c r="K25" s="7"/>
      <c r="L25" s="7"/>
    </row>
    <row r="26" spans="2:12" x14ac:dyDescent="0.2">
      <c r="B26" s="14"/>
      <c r="C26" s="14"/>
      <c r="D26" s="7"/>
      <c r="E26" s="7"/>
      <c r="F26" s="7"/>
      <c r="G26" s="7"/>
      <c r="H26" s="7"/>
      <c r="I26" s="7"/>
      <c r="J26" s="7"/>
      <c r="K26" s="7"/>
      <c r="L26" s="7"/>
    </row>
    <row r="27" spans="2:12" x14ac:dyDescent="0.2">
      <c r="B27" s="14"/>
      <c r="C27" s="14"/>
      <c r="D27" s="7"/>
      <c r="E27" s="7"/>
      <c r="F27" s="7"/>
      <c r="G27" s="7"/>
      <c r="H27" s="7"/>
      <c r="I27" s="7"/>
      <c r="J27" s="7"/>
      <c r="K27" s="7"/>
      <c r="L27" s="7"/>
    </row>
    <row r="28" spans="2:12" x14ac:dyDescent="0.2">
      <c r="B28" s="14"/>
      <c r="C28" s="14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2">
      <c r="B29" s="20"/>
      <c r="C29" s="7"/>
      <c r="D29" s="15"/>
      <c r="E29" s="15"/>
      <c r="F29" s="15"/>
      <c r="G29" s="7"/>
      <c r="H29" s="7"/>
      <c r="I29" s="7"/>
      <c r="J29" s="7"/>
      <c r="K29" s="7"/>
      <c r="L29" s="7"/>
    </row>
    <row r="30" spans="2:12" x14ac:dyDescent="0.2">
      <c r="B30" s="7"/>
      <c r="C30" s="7"/>
      <c r="D30" s="15"/>
      <c r="E30" s="15"/>
      <c r="F30" s="15"/>
      <c r="G30" s="7"/>
      <c r="H30" s="7"/>
      <c r="I30" s="7"/>
      <c r="J30" s="7"/>
      <c r="K30" s="7"/>
      <c r="L30" s="7"/>
    </row>
    <row r="31" spans="2:12" x14ac:dyDescent="0.2">
      <c r="B31" s="37"/>
      <c r="C31" s="14"/>
      <c r="D31" s="20"/>
      <c r="E31" s="7"/>
      <c r="F31" s="7"/>
      <c r="G31" s="20"/>
      <c r="H31" s="7"/>
      <c r="I31" s="7"/>
      <c r="J31" s="20"/>
      <c r="K31" s="7"/>
      <c r="L31" s="7"/>
    </row>
    <row r="32" spans="2:12" x14ac:dyDescent="0.2">
      <c r="B32" s="14"/>
      <c r="C32" s="14"/>
      <c r="D32" s="7"/>
      <c r="E32" s="7"/>
      <c r="F32" s="7"/>
      <c r="G32" s="7"/>
      <c r="H32" s="7"/>
      <c r="I32" s="7"/>
      <c r="J32" s="7"/>
      <c r="K32" s="7"/>
      <c r="L32" s="7"/>
    </row>
    <row r="33" spans="2:12" x14ac:dyDescent="0.2">
      <c r="B33" s="14"/>
      <c r="C33" s="14"/>
      <c r="D33" s="8"/>
      <c r="E33" s="8"/>
      <c r="F33" s="8"/>
      <c r="G33" s="7"/>
      <c r="H33" s="7"/>
      <c r="I33" s="7"/>
      <c r="J33" s="8"/>
      <c r="K33" s="8"/>
      <c r="L33" s="8"/>
    </row>
    <row r="34" spans="2:12" x14ac:dyDescent="0.2">
      <c r="B34" s="14"/>
      <c r="C34" s="14"/>
      <c r="D34" s="10"/>
      <c r="E34" s="10"/>
      <c r="F34" s="10"/>
      <c r="G34" s="10"/>
      <c r="H34" s="10"/>
      <c r="I34" s="10"/>
      <c r="J34" s="10"/>
      <c r="K34" s="10"/>
      <c r="L34" s="10"/>
    </row>
    <row r="35" spans="2:12" x14ac:dyDescent="0.2">
      <c r="B35" s="14"/>
      <c r="C35" s="14"/>
      <c r="D35" s="20"/>
      <c r="E35" s="7"/>
      <c r="F35" s="7"/>
      <c r="G35" s="20"/>
      <c r="H35" s="7"/>
      <c r="I35" s="7"/>
      <c r="J35" s="20"/>
      <c r="K35" s="7"/>
      <c r="L35" s="7"/>
    </row>
    <row r="36" spans="2:12" x14ac:dyDescent="0.2">
      <c r="B36" s="14"/>
      <c r="C36" s="14"/>
      <c r="D36" s="7"/>
      <c r="E36" s="7"/>
      <c r="F36" s="7"/>
      <c r="G36" s="7"/>
      <c r="H36" s="7"/>
      <c r="I36" s="7"/>
      <c r="J36" s="7"/>
      <c r="K36" s="7"/>
      <c r="L36" s="7"/>
    </row>
    <row r="37" spans="2:12" x14ac:dyDescent="0.2">
      <c r="B37" s="14"/>
      <c r="C37" s="14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">
      <c r="B38" s="14"/>
      <c r="C38" s="14"/>
      <c r="D38" s="7"/>
      <c r="E38" s="7"/>
      <c r="F38" s="7"/>
      <c r="G38" s="7"/>
      <c r="H38" s="7"/>
      <c r="I38" s="7"/>
      <c r="J38" s="10"/>
      <c r="K38" s="10"/>
      <c r="L38" s="10"/>
    </row>
  </sheetData>
  <mergeCells count="16">
    <mergeCell ref="B1:H1"/>
    <mergeCell ref="G6:H6"/>
    <mergeCell ref="G5:H5"/>
    <mergeCell ref="B11:H11"/>
    <mergeCell ref="B12:H12"/>
    <mergeCell ref="B10:H10"/>
    <mergeCell ref="B4:F4"/>
    <mergeCell ref="G4:H4"/>
    <mergeCell ref="B6:F6"/>
    <mergeCell ref="C16:H16"/>
    <mergeCell ref="B13:B17"/>
    <mergeCell ref="B5:F5"/>
    <mergeCell ref="C13:H13"/>
    <mergeCell ref="C15:H15"/>
    <mergeCell ref="C14:H14"/>
    <mergeCell ref="C17:H17"/>
  </mergeCells>
  <hyperlinks>
    <hyperlink ref="I1" location="Sheet3!A1" display="NEX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105" workbookViewId="0"/>
  </sheetViews>
  <sheetFormatPr baseColWidth="10" defaultRowHeight="16" x14ac:dyDescent="0.2"/>
  <cols>
    <col min="2" max="2" width="10.83203125" customWidth="1"/>
    <col min="3" max="3" width="7" customWidth="1"/>
    <col min="8" max="8" width="21.6640625" customWidth="1"/>
    <col min="10" max="10" width="8.83203125" customWidth="1"/>
    <col min="11" max="11" width="6.83203125" customWidth="1"/>
  </cols>
  <sheetData>
    <row r="1" spans="1:11" s="1" customFormat="1" ht="19" x14ac:dyDescent="0.25">
      <c r="A1" s="43" t="s">
        <v>96</v>
      </c>
      <c r="B1" s="62" t="s">
        <v>0</v>
      </c>
      <c r="C1" s="62"/>
      <c r="D1" s="62"/>
      <c r="E1" s="62"/>
      <c r="F1" s="62"/>
      <c r="G1" s="62"/>
      <c r="H1" s="63"/>
      <c r="I1" s="43" t="s">
        <v>79</v>
      </c>
    </row>
    <row r="3" spans="1:11" x14ac:dyDescent="0.2">
      <c r="B3" s="89" t="s">
        <v>4</v>
      </c>
      <c r="C3" s="89"/>
      <c r="D3" s="89"/>
      <c r="E3" s="89"/>
      <c r="F3" s="89"/>
      <c r="G3" s="89"/>
      <c r="H3" s="89"/>
    </row>
    <row r="5" spans="1:11" x14ac:dyDescent="0.2">
      <c r="B5" s="77" t="s">
        <v>19</v>
      </c>
      <c r="C5" s="78"/>
      <c r="D5" s="77" t="s">
        <v>16</v>
      </c>
      <c r="E5" s="78"/>
      <c r="F5" s="78"/>
      <c r="G5" s="77" t="s">
        <v>80</v>
      </c>
      <c r="H5" s="78"/>
      <c r="I5" s="82" t="s">
        <v>81</v>
      </c>
      <c r="J5" s="82"/>
      <c r="K5" s="82"/>
    </row>
    <row r="6" spans="1:11" x14ac:dyDescent="0.2">
      <c r="B6" s="83" t="s">
        <v>7</v>
      </c>
      <c r="C6" s="84"/>
      <c r="D6" s="55" t="s">
        <v>13</v>
      </c>
      <c r="E6" s="56"/>
      <c r="F6" s="57"/>
      <c r="G6" s="55" t="s">
        <v>17</v>
      </c>
      <c r="H6" s="56"/>
      <c r="I6" s="55" t="s">
        <v>18</v>
      </c>
      <c r="J6" s="56"/>
      <c r="K6" s="57"/>
    </row>
    <row r="7" spans="1:11" x14ac:dyDescent="0.2">
      <c r="B7" s="85"/>
      <c r="C7" s="86"/>
      <c r="D7" s="66" t="s">
        <v>9</v>
      </c>
      <c r="E7" s="58"/>
      <c r="F7" s="59"/>
      <c r="G7" s="79" t="s">
        <v>89</v>
      </c>
      <c r="H7" s="80"/>
      <c r="I7" s="66" t="s">
        <v>83</v>
      </c>
      <c r="J7" s="58"/>
      <c r="K7" s="59"/>
    </row>
    <row r="8" spans="1:11" s="1" customFormat="1" x14ac:dyDescent="0.2">
      <c r="B8" s="85"/>
      <c r="C8" s="86"/>
      <c r="D8" s="66"/>
      <c r="E8" s="58"/>
      <c r="F8" s="59"/>
      <c r="G8" s="79" t="s">
        <v>88</v>
      </c>
      <c r="H8" s="80"/>
      <c r="I8" s="79"/>
      <c r="J8" s="80"/>
      <c r="K8" s="81"/>
    </row>
    <row r="9" spans="1:11" s="1" customFormat="1" x14ac:dyDescent="0.2">
      <c r="B9" s="87"/>
      <c r="C9" s="88"/>
      <c r="D9" s="64"/>
      <c r="E9" s="73"/>
      <c r="F9" s="65"/>
      <c r="G9" s="38" t="s">
        <v>90</v>
      </c>
      <c r="H9" s="40"/>
      <c r="I9" s="74"/>
      <c r="J9" s="75"/>
      <c r="K9" s="76"/>
    </row>
    <row r="10" spans="1:11" s="1" customFormat="1" x14ac:dyDescent="0.2">
      <c r="B10" s="41"/>
      <c r="C10" s="41"/>
      <c r="D10" s="7"/>
      <c r="E10" s="7"/>
      <c r="F10" s="7"/>
      <c r="G10" s="8"/>
      <c r="H10" s="8"/>
      <c r="I10" s="8"/>
      <c r="J10" s="8"/>
      <c r="K10" s="8"/>
    </row>
    <row r="11" spans="1:11" x14ac:dyDescent="0.2">
      <c r="B11" s="83" t="s">
        <v>8</v>
      </c>
      <c r="C11" s="84"/>
      <c r="D11" s="55" t="s">
        <v>14</v>
      </c>
      <c r="E11" s="56"/>
      <c r="F11" s="57"/>
      <c r="G11" s="55" t="s">
        <v>17</v>
      </c>
      <c r="H11" s="57"/>
      <c r="I11" s="55" t="s">
        <v>18</v>
      </c>
      <c r="J11" s="56"/>
      <c r="K11" s="57"/>
    </row>
    <row r="12" spans="1:11" x14ac:dyDescent="0.2">
      <c r="B12" s="85"/>
      <c r="C12" s="86"/>
      <c r="D12" s="66" t="s">
        <v>10</v>
      </c>
      <c r="E12" s="58"/>
      <c r="F12" s="59"/>
      <c r="G12" s="66" t="s">
        <v>92</v>
      </c>
      <c r="H12" s="59"/>
      <c r="I12" s="66" t="s">
        <v>84</v>
      </c>
      <c r="J12" s="58"/>
      <c r="K12" s="59"/>
    </row>
    <row r="13" spans="1:11" x14ac:dyDescent="0.2">
      <c r="B13" s="85"/>
      <c r="C13" s="86"/>
      <c r="D13" s="66" t="s">
        <v>11</v>
      </c>
      <c r="E13" s="58"/>
      <c r="F13" s="59"/>
      <c r="G13" s="79" t="s">
        <v>91</v>
      </c>
      <c r="H13" s="81"/>
      <c r="I13" s="9"/>
      <c r="J13" s="7"/>
      <c r="K13" s="4"/>
    </row>
    <row r="14" spans="1:11" s="1" customFormat="1" x14ac:dyDescent="0.2">
      <c r="B14" s="87"/>
      <c r="C14" s="88"/>
      <c r="D14" s="64"/>
      <c r="E14" s="73"/>
      <c r="F14" s="65"/>
      <c r="G14" s="74" t="s">
        <v>93</v>
      </c>
      <c r="H14" s="76"/>
      <c r="I14" s="39"/>
      <c r="J14" s="11"/>
      <c r="K14" s="6"/>
    </row>
    <row r="15" spans="1:11" s="1" customFormat="1" x14ac:dyDescent="0.2">
      <c r="B15" s="41"/>
      <c r="C15" s="41"/>
      <c r="D15" s="7"/>
      <c r="E15" s="7"/>
      <c r="F15" s="7"/>
      <c r="G15" s="8"/>
      <c r="H15" s="8"/>
      <c r="I15" s="10"/>
      <c r="J15" s="7"/>
      <c r="K15" s="7"/>
    </row>
    <row r="16" spans="1:11" x14ac:dyDescent="0.2">
      <c r="B16" s="83" t="s">
        <v>82</v>
      </c>
      <c r="C16" s="84"/>
      <c r="D16" s="55" t="s">
        <v>12</v>
      </c>
      <c r="E16" s="56"/>
      <c r="F16" s="56"/>
      <c r="G16" s="55" t="s">
        <v>17</v>
      </c>
      <c r="H16" s="56"/>
      <c r="I16" s="55" t="s">
        <v>18</v>
      </c>
      <c r="J16" s="56"/>
      <c r="K16" s="57"/>
    </row>
    <row r="17" spans="2:11" x14ac:dyDescent="0.2">
      <c r="B17" s="85"/>
      <c r="C17" s="86"/>
      <c r="D17" s="3" t="s">
        <v>13</v>
      </c>
      <c r="E17" s="7"/>
      <c r="F17" s="7"/>
      <c r="G17" s="79" t="s">
        <v>94</v>
      </c>
      <c r="H17" s="80"/>
      <c r="I17" s="66" t="s">
        <v>87</v>
      </c>
      <c r="J17" s="58"/>
      <c r="K17" s="59"/>
    </row>
    <row r="18" spans="2:11" x14ac:dyDescent="0.2">
      <c r="B18" s="85"/>
      <c r="C18" s="86"/>
      <c r="D18" s="66" t="s">
        <v>15</v>
      </c>
      <c r="E18" s="58"/>
      <c r="F18" s="58"/>
      <c r="G18" s="79" t="s">
        <v>91</v>
      </c>
      <c r="H18" s="81"/>
      <c r="I18" s="79" t="s">
        <v>85</v>
      </c>
      <c r="J18" s="80"/>
      <c r="K18" s="81"/>
    </row>
    <row r="19" spans="2:11" x14ac:dyDescent="0.2">
      <c r="B19" s="87"/>
      <c r="C19" s="88"/>
      <c r="D19" s="64" t="s">
        <v>11</v>
      </c>
      <c r="E19" s="73"/>
      <c r="F19" s="73"/>
      <c r="G19" s="5" t="s">
        <v>95</v>
      </c>
      <c r="H19" s="11"/>
      <c r="I19" s="74" t="s">
        <v>86</v>
      </c>
      <c r="J19" s="75"/>
      <c r="K19" s="76"/>
    </row>
    <row r="22" spans="2:11" x14ac:dyDescent="0.2">
      <c r="K22" s="35"/>
    </row>
  </sheetData>
  <mergeCells count="39">
    <mergeCell ref="B1:H1"/>
    <mergeCell ref="G14:H14"/>
    <mergeCell ref="B11:C14"/>
    <mergeCell ref="G17:H17"/>
    <mergeCell ref="G18:H18"/>
    <mergeCell ref="B16:C19"/>
    <mergeCell ref="B6:C9"/>
    <mergeCell ref="B3:H3"/>
    <mergeCell ref="B5:C5"/>
    <mergeCell ref="D14:F14"/>
    <mergeCell ref="D8:F8"/>
    <mergeCell ref="D9:F9"/>
    <mergeCell ref="I6:K6"/>
    <mergeCell ref="I7:K7"/>
    <mergeCell ref="I5:K5"/>
    <mergeCell ref="I11:K11"/>
    <mergeCell ref="I12:K12"/>
    <mergeCell ref="I16:K16"/>
    <mergeCell ref="I18:K18"/>
    <mergeCell ref="G12:H12"/>
    <mergeCell ref="G13:H13"/>
    <mergeCell ref="G16:H16"/>
    <mergeCell ref="I17:K17"/>
    <mergeCell ref="I19:K19"/>
    <mergeCell ref="D19:F19"/>
    <mergeCell ref="G5:H5"/>
    <mergeCell ref="G11:H11"/>
    <mergeCell ref="G6:H6"/>
    <mergeCell ref="G7:H7"/>
    <mergeCell ref="G8:H8"/>
    <mergeCell ref="D12:F12"/>
    <mergeCell ref="D13:F13"/>
    <mergeCell ref="D16:F16"/>
    <mergeCell ref="D18:F18"/>
    <mergeCell ref="D7:F7"/>
    <mergeCell ref="D11:F11"/>
    <mergeCell ref="D5:F5"/>
    <mergeCell ref="D6:F6"/>
    <mergeCell ref="I8:K9"/>
  </mergeCells>
  <hyperlinks>
    <hyperlink ref="I1" location="Sheet2!A1" display="NEXT"/>
    <hyperlink ref="A1" location="Sheet1!A1" display="BACK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topLeftCell="A10" zoomScale="111" workbookViewId="0">
      <selection activeCell="J29" sqref="J29"/>
    </sheetView>
  </sheetViews>
  <sheetFormatPr baseColWidth="10" defaultRowHeight="16" x14ac:dyDescent="0.2"/>
  <cols>
    <col min="3" max="3" width="15.33203125" customWidth="1"/>
    <col min="4" max="4" width="8.6640625" customWidth="1"/>
    <col min="5" max="5" width="21.33203125" customWidth="1"/>
    <col min="8" max="8" width="13.33203125" customWidth="1"/>
    <col min="9" max="9" width="5.33203125" customWidth="1"/>
    <col min="10" max="10" width="10" customWidth="1"/>
  </cols>
  <sheetData>
    <row r="1" spans="1:8" ht="19" x14ac:dyDescent="0.25">
      <c r="A1" s="43" t="s">
        <v>96</v>
      </c>
      <c r="B1" s="108" t="s">
        <v>22</v>
      </c>
      <c r="C1" s="62"/>
      <c r="D1" s="62"/>
      <c r="E1" s="62"/>
      <c r="F1" s="62"/>
      <c r="G1" s="62"/>
      <c r="H1" s="45" t="s">
        <v>98</v>
      </c>
    </row>
    <row r="2" spans="1:8" ht="17" thickBot="1" x14ac:dyDescent="0.25"/>
    <row r="3" spans="1:8" ht="17" thickBot="1" x14ac:dyDescent="0.25">
      <c r="B3" s="109" t="s">
        <v>97</v>
      </c>
      <c r="C3" s="109"/>
      <c r="D3" s="31">
        <v>1</v>
      </c>
    </row>
    <row r="5" spans="1:8" x14ac:dyDescent="0.2">
      <c r="B5" s="112" t="s">
        <v>101</v>
      </c>
      <c r="C5" s="112"/>
    </row>
    <row r="6" spans="1:8" x14ac:dyDescent="0.2">
      <c r="B6" t="s">
        <v>29</v>
      </c>
      <c r="F6" s="28" t="s">
        <v>78</v>
      </c>
    </row>
    <row r="7" spans="1:8" x14ac:dyDescent="0.2">
      <c r="B7" t="s">
        <v>30</v>
      </c>
      <c r="F7" s="16"/>
    </row>
    <row r="8" spans="1:8" x14ac:dyDescent="0.2">
      <c r="A8" s="42"/>
      <c r="B8" t="s">
        <v>31</v>
      </c>
      <c r="F8" s="16"/>
    </row>
    <row r="9" spans="1:8" x14ac:dyDescent="0.2">
      <c r="B9" t="s">
        <v>32</v>
      </c>
      <c r="F9" s="16"/>
    </row>
    <row r="10" spans="1:8" x14ac:dyDescent="0.2">
      <c r="B10" t="s">
        <v>33</v>
      </c>
      <c r="F10" s="16"/>
    </row>
    <row r="12" spans="1:8" x14ac:dyDescent="0.2">
      <c r="B12" s="18" t="s">
        <v>54</v>
      </c>
      <c r="F12" s="2"/>
    </row>
    <row r="13" spans="1:8" x14ac:dyDescent="0.2">
      <c r="B13" t="s">
        <v>34</v>
      </c>
      <c r="F13" s="16"/>
    </row>
    <row r="14" spans="1:8" x14ac:dyDescent="0.2">
      <c r="B14" t="s">
        <v>35</v>
      </c>
      <c r="F14" s="16"/>
    </row>
    <row r="15" spans="1:8" x14ac:dyDescent="0.2">
      <c r="B15" t="s">
        <v>36</v>
      </c>
      <c r="F15" s="16"/>
    </row>
    <row r="17" spans="2:15" ht="17" thickBot="1" x14ac:dyDescent="0.25">
      <c r="B17" s="18" t="s">
        <v>55</v>
      </c>
    </row>
    <row r="18" spans="2:15" ht="20" thickBot="1" x14ac:dyDescent="0.3">
      <c r="B18" s="94" t="s">
        <v>72</v>
      </c>
      <c r="C18" s="95"/>
      <c r="D18" s="96" t="s">
        <v>73</v>
      </c>
      <c r="E18" s="97"/>
      <c r="F18" s="13" t="s">
        <v>74</v>
      </c>
      <c r="G18" s="70" t="s">
        <v>75</v>
      </c>
      <c r="H18" s="71"/>
      <c r="I18" s="72"/>
    </row>
    <row r="19" spans="2:15" x14ac:dyDescent="0.2">
      <c r="B19" s="18"/>
      <c r="D19" s="54"/>
      <c r="E19" s="98"/>
      <c r="F19" s="13" t="s">
        <v>76</v>
      </c>
      <c r="G19" s="70" t="s">
        <v>77</v>
      </c>
      <c r="H19" s="71"/>
      <c r="I19" s="72"/>
    </row>
    <row r="20" spans="2:15" ht="17" thickBot="1" x14ac:dyDescent="0.25">
      <c r="B20" s="18"/>
    </row>
    <row r="21" spans="2:15" ht="20" thickBot="1" x14ac:dyDescent="0.3">
      <c r="B21" s="92" t="s">
        <v>53</v>
      </c>
      <c r="C21" s="111"/>
      <c r="D21" s="26" t="s">
        <v>38</v>
      </c>
      <c r="E21" s="25" t="s">
        <v>42</v>
      </c>
      <c r="F21" s="24" t="s">
        <v>40</v>
      </c>
      <c r="G21" s="24" t="s">
        <v>37</v>
      </c>
      <c r="H21" s="19"/>
      <c r="I21" s="19"/>
      <c r="J21" s="19"/>
      <c r="K21" s="19"/>
      <c r="L21" s="112"/>
      <c r="M21" s="112"/>
      <c r="N21" s="112"/>
    </row>
    <row r="22" spans="2:15" ht="19" x14ac:dyDescent="0.25">
      <c r="B22" s="110"/>
      <c r="C22" s="51"/>
      <c r="D22" s="32" t="s">
        <v>39</v>
      </c>
      <c r="E22" s="28">
        <v>0.1</v>
      </c>
      <c r="F22" s="33">
        <f>D3*E22</f>
        <v>0.1</v>
      </c>
      <c r="G22" s="33" t="s">
        <v>41</v>
      </c>
      <c r="H22" s="2"/>
      <c r="I22" s="2"/>
      <c r="J22" s="2"/>
      <c r="K22" s="2"/>
      <c r="L22" s="109"/>
      <c r="M22" s="109"/>
      <c r="N22" s="109"/>
      <c r="O22" s="109"/>
    </row>
    <row r="23" spans="2:15" x14ac:dyDescent="0.2">
      <c r="B23" s="15"/>
      <c r="C23" s="15"/>
      <c r="D23" s="2"/>
      <c r="E23" s="2"/>
      <c r="F23" s="2"/>
      <c r="G23" s="2"/>
      <c r="H23" s="2"/>
      <c r="I23" s="2"/>
      <c r="J23" s="2"/>
      <c r="K23" s="2"/>
      <c r="L23" s="109"/>
      <c r="M23" s="109"/>
    </row>
    <row r="24" spans="2:15" x14ac:dyDescent="0.2">
      <c r="B24" s="15"/>
      <c r="C24" s="15"/>
      <c r="D24" s="24" t="s">
        <v>48</v>
      </c>
      <c r="E24" s="27" t="s">
        <v>49</v>
      </c>
      <c r="F24" s="90" t="s">
        <v>43</v>
      </c>
      <c r="G24" s="100"/>
      <c r="H24" s="100"/>
      <c r="I24" s="91"/>
      <c r="J24" s="2"/>
      <c r="K24" s="2"/>
    </row>
    <row r="25" spans="2:15" x14ac:dyDescent="0.2">
      <c r="B25" s="15"/>
      <c r="C25" s="15"/>
      <c r="D25" s="21" t="s">
        <v>51</v>
      </c>
      <c r="E25" s="48" t="s">
        <v>50</v>
      </c>
      <c r="F25" s="113" t="s">
        <v>102</v>
      </c>
      <c r="G25" s="114"/>
      <c r="H25" s="114"/>
      <c r="I25" s="115"/>
      <c r="J25" s="2"/>
      <c r="K25" s="2"/>
      <c r="L25" s="18"/>
    </row>
    <row r="26" spans="2:15" x14ac:dyDescent="0.2">
      <c r="B26" s="15"/>
      <c r="C26" s="15"/>
      <c r="D26" s="23"/>
      <c r="E26" s="50"/>
      <c r="F26" s="66" t="s">
        <v>44</v>
      </c>
      <c r="G26" s="58"/>
      <c r="H26" s="58"/>
      <c r="I26" s="59"/>
      <c r="J26" s="2"/>
      <c r="K26" s="2"/>
    </row>
    <row r="27" spans="2:15" x14ac:dyDescent="0.2">
      <c r="B27" s="15"/>
      <c r="C27" s="15"/>
      <c r="D27" s="22"/>
      <c r="E27" s="48"/>
      <c r="F27" s="66" t="s">
        <v>52</v>
      </c>
      <c r="G27" s="58"/>
      <c r="H27" s="58"/>
      <c r="I27" s="59"/>
      <c r="J27" s="2"/>
      <c r="K27" s="2"/>
    </row>
    <row r="28" spans="2:15" x14ac:dyDescent="0.2">
      <c r="B28" s="15"/>
      <c r="C28" s="15"/>
      <c r="D28" s="22"/>
      <c r="E28" s="48"/>
      <c r="F28" s="104" t="s">
        <v>45</v>
      </c>
      <c r="G28" s="89"/>
      <c r="H28" s="89"/>
      <c r="I28" s="105"/>
      <c r="J28" s="2"/>
      <c r="K28" s="2"/>
    </row>
    <row r="29" spans="2:15" x14ac:dyDescent="0.2">
      <c r="B29" s="15"/>
      <c r="C29" s="15"/>
      <c r="D29" s="22"/>
      <c r="E29" s="48"/>
      <c r="F29" s="66" t="s">
        <v>46</v>
      </c>
      <c r="G29" s="58"/>
      <c r="H29" s="58"/>
      <c r="I29" s="59"/>
      <c r="J29" s="2"/>
      <c r="K29" s="2"/>
    </row>
    <row r="30" spans="2:15" x14ac:dyDescent="0.2">
      <c r="B30" s="2"/>
      <c r="C30" s="2"/>
      <c r="D30" s="17"/>
      <c r="E30" s="49"/>
      <c r="F30" s="64" t="s">
        <v>47</v>
      </c>
      <c r="G30" s="73"/>
      <c r="H30" s="73"/>
      <c r="I30" s="65"/>
      <c r="J30" s="2"/>
      <c r="K30" s="2"/>
    </row>
    <row r="31" spans="2:15" ht="17" thickBot="1" x14ac:dyDescent="0.25"/>
    <row r="32" spans="2:15" ht="20" thickBot="1" x14ac:dyDescent="0.3">
      <c r="B32" s="94" t="s">
        <v>56</v>
      </c>
      <c r="C32" s="95"/>
      <c r="D32" s="26" t="s">
        <v>38</v>
      </c>
      <c r="E32" s="24" t="s">
        <v>42</v>
      </c>
      <c r="F32" s="24" t="s">
        <v>40</v>
      </c>
      <c r="G32" s="24" t="s">
        <v>37</v>
      </c>
    </row>
    <row r="33" spans="2:9" ht="19" x14ac:dyDescent="0.25">
      <c r="D33" s="34" t="s">
        <v>39</v>
      </c>
      <c r="E33" s="16">
        <v>5</v>
      </c>
      <c r="F33" s="34">
        <f>E33*D3</f>
        <v>5</v>
      </c>
      <c r="G33" s="34" t="s">
        <v>57</v>
      </c>
    </row>
    <row r="35" spans="2:9" x14ac:dyDescent="0.2">
      <c r="F35" s="90" t="s">
        <v>43</v>
      </c>
      <c r="G35" s="100"/>
      <c r="H35" s="91"/>
    </row>
    <row r="36" spans="2:9" x14ac:dyDescent="0.2">
      <c r="F36" s="107" t="s">
        <v>58</v>
      </c>
      <c r="G36" s="71"/>
      <c r="H36" s="72"/>
    </row>
    <row r="37" spans="2:9" ht="17" thickBot="1" x14ac:dyDescent="0.25"/>
    <row r="38" spans="2:9" ht="20" thickBot="1" x14ac:dyDescent="0.3">
      <c r="B38" s="94" t="s">
        <v>71</v>
      </c>
      <c r="C38" s="95"/>
      <c r="D38" s="29" t="s">
        <v>38</v>
      </c>
      <c r="E38" s="30" t="s">
        <v>42</v>
      </c>
      <c r="F38" s="30" t="s">
        <v>40</v>
      </c>
      <c r="G38" s="30" t="s">
        <v>37</v>
      </c>
    </row>
    <row r="39" spans="2:9" ht="19" x14ac:dyDescent="0.25">
      <c r="D39" s="34" t="s">
        <v>39</v>
      </c>
      <c r="E39" s="16">
        <v>1</v>
      </c>
      <c r="F39" s="34">
        <f>E39* D3</f>
        <v>1</v>
      </c>
      <c r="G39" s="34" t="s">
        <v>57</v>
      </c>
    </row>
    <row r="41" spans="2:9" x14ac:dyDescent="0.2">
      <c r="F41" s="67" t="s">
        <v>43</v>
      </c>
      <c r="G41" s="68"/>
      <c r="H41" s="69"/>
    </row>
    <row r="42" spans="2:9" x14ac:dyDescent="0.2">
      <c r="F42" s="55" t="s">
        <v>99</v>
      </c>
      <c r="G42" s="56"/>
      <c r="H42" s="57"/>
      <c r="I42" s="2"/>
    </row>
    <row r="43" spans="2:9" x14ac:dyDescent="0.2">
      <c r="F43" s="101" t="s">
        <v>100</v>
      </c>
      <c r="G43" s="102"/>
      <c r="H43" s="103"/>
    </row>
    <row r="44" spans="2:9" x14ac:dyDescent="0.2">
      <c r="F44" s="106" t="s">
        <v>59</v>
      </c>
      <c r="G44" s="73"/>
      <c r="H44" s="65"/>
    </row>
    <row r="45" spans="2:9" ht="17" thickBot="1" x14ac:dyDescent="0.25"/>
    <row r="46" spans="2:9" ht="20" thickBot="1" x14ac:dyDescent="0.3">
      <c r="B46" s="92" t="s">
        <v>60</v>
      </c>
      <c r="C46" s="99"/>
      <c r="D46" s="26" t="s">
        <v>38</v>
      </c>
      <c r="E46" s="24" t="s">
        <v>42</v>
      </c>
      <c r="F46" s="24" t="s">
        <v>40</v>
      </c>
      <c r="G46" s="24" t="s">
        <v>37</v>
      </c>
    </row>
    <row r="47" spans="2:9" ht="19" x14ac:dyDescent="0.25">
      <c r="D47" s="34" t="s">
        <v>39</v>
      </c>
      <c r="E47" s="16">
        <v>0.5</v>
      </c>
      <c r="F47" s="34">
        <f>D3*E47</f>
        <v>0.5</v>
      </c>
      <c r="G47" s="34" t="s">
        <v>57</v>
      </c>
    </row>
    <row r="49" spans="2:9" x14ac:dyDescent="0.2">
      <c r="D49" s="24" t="s">
        <v>48</v>
      </c>
      <c r="E49" s="27" t="s">
        <v>49</v>
      </c>
      <c r="F49" s="90" t="s">
        <v>43</v>
      </c>
      <c r="G49" s="100"/>
      <c r="H49" s="100"/>
      <c r="I49" s="91"/>
    </row>
    <row r="50" spans="2:9" x14ac:dyDescent="0.2">
      <c r="D50" s="12" t="s">
        <v>62</v>
      </c>
      <c r="E50" s="21" t="s">
        <v>63</v>
      </c>
      <c r="F50" s="55" t="s">
        <v>64</v>
      </c>
      <c r="G50" s="56"/>
      <c r="H50" s="56"/>
      <c r="I50" s="57"/>
    </row>
    <row r="51" spans="2:9" x14ac:dyDescent="0.2">
      <c r="D51" s="5"/>
      <c r="E51" s="17"/>
      <c r="F51" s="64" t="s">
        <v>47</v>
      </c>
      <c r="G51" s="73"/>
      <c r="H51" s="73"/>
      <c r="I51" s="65"/>
    </row>
    <row r="52" spans="2:9" ht="17" thickBot="1" x14ac:dyDescent="0.25"/>
    <row r="53" spans="2:9" ht="20" thickBot="1" x14ac:dyDescent="0.3">
      <c r="B53" s="92" t="s">
        <v>61</v>
      </c>
      <c r="C53" s="93"/>
      <c r="D53" s="26" t="s">
        <v>38</v>
      </c>
      <c r="E53" s="24" t="s">
        <v>42</v>
      </c>
      <c r="F53" s="24" t="s">
        <v>40</v>
      </c>
      <c r="G53" s="24" t="s">
        <v>37</v>
      </c>
    </row>
    <row r="54" spans="2:9" ht="19" x14ac:dyDescent="0.25">
      <c r="D54" s="34" t="s">
        <v>39</v>
      </c>
      <c r="E54" s="16">
        <v>0.2</v>
      </c>
      <c r="F54" s="34">
        <f>E54*D3</f>
        <v>0.2</v>
      </c>
      <c r="G54" s="34" t="s">
        <v>57</v>
      </c>
    </row>
    <row r="55" spans="2:9" ht="17" thickBot="1" x14ac:dyDescent="0.25"/>
    <row r="56" spans="2:9" ht="20" thickBot="1" x14ac:dyDescent="0.3">
      <c r="B56" s="92" t="s">
        <v>65</v>
      </c>
      <c r="C56" s="93"/>
      <c r="D56" s="26" t="s">
        <v>38</v>
      </c>
      <c r="E56" s="24" t="s">
        <v>42</v>
      </c>
      <c r="F56" s="24" t="s">
        <v>40</v>
      </c>
      <c r="G56" s="24" t="s">
        <v>37</v>
      </c>
    </row>
    <row r="57" spans="2:9" ht="19" x14ac:dyDescent="0.25">
      <c r="D57" s="34" t="s">
        <v>39</v>
      </c>
      <c r="E57" s="16">
        <v>1</v>
      </c>
      <c r="F57" s="34">
        <f>D3*E57</f>
        <v>1</v>
      </c>
      <c r="G57" s="34" t="s">
        <v>57</v>
      </c>
    </row>
    <row r="59" spans="2:9" x14ac:dyDescent="0.2">
      <c r="D59" s="44" t="s">
        <v>48</v>
      </c>
      <c r="E59" s="27" t="s">
        <v>49</v>
      </c>
      <c r="F59" s="90" t="s">
        <v>43</v>
      </c>
      <c r="G59" s="91"/>
      <c r="H59" s="47"/>
      <c r="I59" s="19"/>
    </row>
    <row r="60" spans="2:9" x14ac:dyDescent="0.2">
      <c r="D60" s="22" t="s">
        <v>70</v>
      </c>
      <c r="E60" s="21" t="s">
        <v>69</v>
      </c>
      <c r="F60" s="55" t="s">
        <v>66</v>
      </c>
      <c r="G60" s="57"/>
      <c r="H60" s="46"/>
    </row>
    <row r="61" spans="2:9" x14ac:dyDescent="0.2">
      <c r="D61" s="22"/>
      <c r="E61" s="22"/>
      <c r="F61" s="66" t="s">
        <v>67</v>
      </c>
      <c r="G61" s="59"/>
      <c r="H61" s="46"/>
    </row>
    <row r="62" spans="2:9" x14ac:dyDescent="0.2">
      <c r="D62" s="17"/>
      <c r="E62" s="17"/>
      <c r="F62" s="64" t="s">
        <v>68</v>
      </c>
      <c r="G62" s="65"/>
      <c r="H62" s="46"/>
    </row>
  </sheetData>
  <mergeCells count="37">
    <mergeCell ref="B1:G1"/>
    <mergeCell ref="B32:C32"/>
    <mergeCell ref="F35:H35"/>
    <mergeCell ref="L23:M23"/>
    <mergeCell ref="B3:C3"/>
    <mergeCell ref="B22:C22"/>
    <mergeCell ref="B21:C21"/>
    <mergeCell ref="L22:O22"/>
    <mergeCell ref="L21:N21"/>
    <mergeCell ref="B5:C5"/>
    <mergeCell ref="F25:I25"/>
    <mergeCell ref="F24:I24"/>
    <mergeCell ref="F26:I26"/>
    <mergeCell ref="F27:I27"/>
    <mergeCell ref="F28:I28"/>
    <mergeCell ref="B53:C53"/>
    <mergeCell ref="F50:I50"/>
    <mergeCell ref="F49:I49"/>
    <mergeCell ref="F51:I51"/>
    <mergeCell ref="F43:H43"/>
    <mergeCell ref="F44:H44"/>
    <mergeCell ref="B18:C18"/>
    <mergeCell ref="G18:I18"/>
    <mergeCell ref="G19:I19"/>
    <mergeCell ref="D18:E19"/>
    <mergeCell ref="B46:C46"/>
    <mergeCell ref="F36:H36"/>
    <mergeCell ref="B38:C38"/>
    <mergeCell ref="F41:H41"/>
    <mergeCell ref="F42:H42"/>
    <mergeCell ref="F29:I29"/>
    <mergeCell ref="F30:I30"/>
    <mergeCell ref="F59:G59"/>
    <mergeCell ref="F60:G60"/>
    <mergeCell ref="F61:G61"/>
    <mergeCell ref="F62:G62"/>
    <mergeCell ref="B56:C56"/>
  </mergeCells>
  <hyperlinks>
    <hyperlink ref="A1" location="Sheet3!A1" display="BACK"/>
    <hyperlink ref="H1" r:id="rId1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Tan</dc:creator>
  <cp:lastModifiedBy>Jo Tan</cp:lastModifiedBy>
  <dcterms:created xsi:type="dcterms:W3CDTF">2016-10-02T01:56:07Z</dcterms:created>
  <dcterms:modified xsi:type="dcterms:W3CDTF">2016-11-21T10:00:34Z</dcterms:modified>
</cp:coreProperties>
</file>