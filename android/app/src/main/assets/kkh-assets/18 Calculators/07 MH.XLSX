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otan/Desktop/New Baby Bear Drugs/CRISIS/"/>
    </mc:Choice>
  </mc:AlternateContent>
  <bookViews>
    <workbookView xWindow="0" yWindow="460" windowWidth="25600" windowHeight="14440" tabRatio="500" activeTab="6"/>
  </bookViews>
  <sheets>
    <sheet name="Sheet1" sheetId="1" r:id="rId1"/>
    <sheet name="Sheet2" sheetId="2" r:id="rId2"/>
    <sheet name="Sheet3" sheetId="3" r:id="rId3"/>
    <sheet name="Sheet4" sheetId="4" r:id="rId4"/>
    <sheet name="Sheet7" sheetId="7" r:id="rId5"/>
    <sheet name="Sheet5" sheetId="5" r:id="rId6"/>
    <sheet name="Sheet6" sheetId="6" r:id="rId7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5" l="1"/>
  <c r="E15" i="5"/>
</calcChain>
</file>

<file path=xl/sharedStrings.xml><?xml version="1.0" encoding="utf-8"?>
<sst xmlns="http://schemas.openxmlformats.org/spreadsheetml/2006/main" count="108" uniqueCount="88">
  <si>
    <t>MALIGNANT HYPERTHERMIA</t>
  </si>
  <si>
    <t>DSOT- outside DSOT 2</t>
  </si>
  <si>
    <t>MOT- Paed Recovery</t>
  </si>
  <si>
    <t>IMMEDIATE MANAGEMENT</t>
  </si>
  <si>
    <t>RECOGNITION</t>
  </si>
  <si>
    <t>3. Unexplained increase in Oxygen requirements</t>
  </si>
  <si>
    <t>4. Trunk or limb rigidity</t>
  </si>
  <si>
    <t>6. Unstable or rising blood pressure</t>
  </si>
  <si>
    <t>7. Respiratory &amp; Metabloic Acidosis</t>
  </si>
  <si>
    <t>Please inform AU nurse if MH box has been opened and used.</t>
  </si>
  <si>
    <t>Please return box to respective OT locations if not used.</t>
  </si>
  <si>
    <t>5. Masseter spasm (Trismus)</t>
  </si>
  <si>
    <t>1. Call for help</t>
  </si>
  <si>
    <t>3. Get MH Box with Dantrolene</t>
  </si>
  <si>
    <t>2. STOP all triggers (turn OFF VOLATILE anaesthetics)</t>
  </si>
  <si>
    <t>4. Notify surgeon</t>
  </si>
  <si>
    <t>5. Install clean breathing circuit</t>
  </si>
  <si>
    <t>6. Hyperventilate with 100% oxygen</t>
  </si>
  <si>
    <t>7. Maintain anaesthesia with IV anaesthetics</t>
  </si>
  <si>
    <t>8. Muscle relaxation with Non-Depolarising neuromuscular blockers</t>
  </si>
  <si>
    <t>9. Finish/ abandon surgery ASAP</t>
  </si>
  <si>
    <t>DANTROLENE</t>
  </si>
  <si>
    <t>Body Weight (KG):</t>
  </si>
  <si>
    <t>MILLIgrams</t>
  </si>
  <si>
    <r>
      <t xml:space="preserve">give </t>
    </r>
    <r>
      <rPr>
        <sz val="12"/>
        <color rgb="FFC00000"/>
        <rFont val="Calibri (Body)"/>
      </rPr>
      <t>DANTROLENE</t>
    </r>
    <r>
      <rPr>
        <sz val="12"/>
        <color theme="1"/>
        <rFont val="Calibri"/>
        <family val="2"/>
        <scheme val="minor"/>
      </rPr>
      <t xml:space="preserve"> (2.5 MILLIgram/KG)</t>
    </r>
  </si>
  <si>
    <r>
      <rPr>
        <sz val="12"/>
        <color rgb="FFC00000"/>
        <rFont val="Calibri (Body)"/>
      </rPr>
      <t>INTRAVENOUSLY</t>
    </r>
    <r>
      <rPr>
        <sz val="12"/>
        <color theme="1"/>
        <rFont val="Calibri"/>
        <family val="2"/>
        <scheme val="minor"/>
      </rPr>
      <t xml:space="preserve"> =</t>
    </r>
  </si>
  <si>
    <t>rapidly</t>
  </si>
  <si>
    <t>subsequent dantrolene boluses:</t>
  </si>
  <si>
    <t>DANROLENE:</t>
  </si>
  <si>
    <t>each vial cobtains 20MILLIgrams of dantrolene</t>
  </si>
  <si>
    <t>Dissolve 1 vial in 60 ML sterile water</t>
  </si>
  <si>
    <t>dantrolene potentiates neuromuscular blockers</t>
  </si>
  <si>
    <t>next</t>
  </si>
  <si>
    <t xml:space="preserve">intravenously </t>
  </si>
  <si>
    <t>(every 5 minutes til symptoms subside or up to total of 10 MILLIgrams/KG)</t>
  </si>
  <si>
    <t xml:space="preserve">1. Unexplained increase in ETCO2 </t>
  </si>
  <si>
    <t xml:space="preserve">2. Unexplained Tachycardia </t>
  </si>
  <si>
    <t>8. Arrhythmias</t>
  </si>
  <si>
    <t>9. Temperature changes are a LATE sign</t>
  </si>
  <si>
    <r>
      <t xml:space="preserve">** Previous uneventful GA </t>
    </r>
    <r>
      <rPr>
        <b/>
        <sz val="12"/>
        <color theme="1"/>
        <rFont val="Calibri"/>
        <family val="2"/>
        <scheme val="minor"/>
      </rPr>
      <t>DOES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rule out MH</t>
    </r>
  </si>
  <si>
    <t>CLINICAL</t>
  </si>
  <si>
    <t>BIOCHEMICAL</t>
  </si>
  <si>
    <t>1. increased PaCO2</t>
  </si>
  <si>
    <t>2. decreased PH</t>
  </si>
  <si>
    <t>3. increased serum K</t>
  </si>
  <si>
    <t>4. decreased PaO2</t>
  </si>
  <si>
    <t>5. increased creatine kinase</t>
  </si>
  <si>
    <t>6. myoglobinuria</t>
  </si>
  <si>
    <t>DIFFERENTIAL DIAGNOSIS</t>
  </si>
  <si>
    <t>1. Inadequate anaesthesia or analgesia</t>
  </si>
  <si>
    <t>5. Pheochromocytoma</t>
  </si>
  <si>
    <t>6. Thyroid storm</t>
  </si>
  <si>
    <t>2. Inappropriate breathing circuit, fresh gas flow or ventilation</t>
  </si>
  <si>
    <t>3. Infection or sepsis</t>
  </si>
  <si>
    <t>4. Tourniquet ischaemia</t>
  </si>
  <si>
    <t>5. Anaphylaxis</t>
  </si>
  <si>
    <r>
      <t>**</t>
    </r>
    <r>
      <rPr>
        <b/>
        <sz val="12"/>
        <color rgb="FFED8A2F"/>
        <rFont val="Calibri"/>
        <family val="2"/>
        <scheme val="minor"/>
      </rPr>
      <t xml:space="preserve"> </t>
    </r>
    <r>
      <rPr>
        <b/>
        <sz val="12"/>
        <color rgb="FFED8A2F"/>
        <rFont val="Calibri (Body)"/>
      </rPr>
      <t>MH BOX</t>
    </r>
    <r>
      <rPr>
        <sz val="12"/>
        <color rgb="FFED8A2F"/>
        <rFont val="Calibri"/>
        <family val="2"/>
        <scheme val="minor"/>
      </rPr>
      <t xml:space="preserve">- </t>
    </r>
    <r>
      <rPr>
        <b/>
        <sz val="12"/>
        <color rgb="FFED8A2F"/>
        <rFont val="Calibri (Body)"/>
      </rPr>
      <t>ORANGE</t>
    </r>
    <r>
      <rPr>
        <sz val="12"/>
        <color rgb="FFED8A2F"/>
        <rFont val="Calibri"/>
        <family val="2"/>
        <scheme val="minor"/>
      </rPr>
      <t xml:space="preserve"> box </t>
    </r>
    <r>
      <rPr>
        <sz val="12"/>
        <color theme="1"/>
        <rFont val="Calibri (Body)"/>
      </rPr>
      <t>(containing essential drugs &amp; treatment algorithm) kept in:</t>
    </r>
  </si>
  <si>
    <t>(1 MILLIgram/KG)</t>
  </si>
  <si>
    <t>Cold IV NS, ice saline lavage, surface ice packs</t>
  </si>
  <si>
    <t>Stop cooling when temp 38 degrees celsius and falling</t>
  </si>
  <si>
    <r>
      <rPr>
        <b/>
        <sz val="12"/>
        <color theme="1"/>
        <rFont val="Calibri"/>
        <family val="2"/>
        <scheme val="minor"/>
      </rPr>
      <t>COOL</t>
    </r>
    <r>
      <rPr>
        <sz val="12"/>
        <color theme="1"/>
        <rFont val="Calibri"/>
        <family val="2"/>
        <scheme val="minor"/>
      </rPr>
      <t xml:space="preserve"> patient if temp &gt; 39 degrees celsius</t>
    </r>
  </si>
  <si>
    <t>Treat HYPERKALAEMIA</t>
  </si>
  <si>
    <t>Treat ARRHYTHMIAS</t>
  </si>
  <si>
    <t>**Avoid Calcium channel blockers</t>
  </si>
  <si>
    <t>can use Amiodarone</t>
  </si>
  <si>
    <t>Treat METABOLIC ACIDOSIS</t>
  </si>
  <si>
    <t>Hyperventilate</t>
  </si>
  <si>
    <t>NaHCO3</t>
  </si>
  <si>
    <t>Treat MYOGLOBINURIA</t>
  </si>
  <si>
    <t>forced alkaline diuresis (mannitol/frusemide+NaHCO3)</t>
  </si>
  <si>
    <t>may require renal replacement therapy later)</t>
  </si>
  <si>
    <t>Treat DIC (if present)</t>
  </si>
  <si>
    <t>FFP, Cryoppt, Platelets</t>
  </si>
  <si>
    <t xml:space="preserve">MONITOR </t>
  </si>
  <si>
    <t>1. Core &amp; Peripheral TEMPERATURE</t>
  </si>
  <si>
    <t>2. ECG</t>
  </si>
  <si>
    <t>3. Invasive BP</t>
  </si>
  <si>
    <t>4. CVP</t>
  </si>
  <si>
    <t>5. ETCO2/ PaCO2</t>
  </si>
  <si>
    <t>6. SpO2/ PaO2</t>
  </si>
  <si>
    <t>7. serum CREATINE KINASE</t>
  </si>
  <si>
    <t>8. serum K</t>
  </si>
  <si>
    <t>9. coagulation profile</t>
  </si>
  <si>
    <t xml:space="preserve">TREATMENT </t>
  </si>
  <si>
    <t>MONITORING</t>
  </si>
  <si>
    <t>TREATMENT</t>
  </si>
  <si>
    <t>back</t>
  </si>
  <si>
    <t>crisis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</si>
</sst>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 (Body)"/>
    </font>
    <font>
      <u/>
      <sz val="12"/>
      <color theme="10"/>
      <name val="Calibri"/>
      <family val="2"/>
      <scheme val="minor"/>
    </font>
    <font>
      <sz val="12"/>
      <color rgb="FFED8A2F"/>
      <name val="Calibri"/>
      <family val="2"/>
      <scheme val="minor"/>
    </font>
    <font>
      <b/>
      <sz val="12"/>
      <color rgb="FFED8A2F"/>
      <name val="Calibri"/>
      <family val="2"/>
      <scheme val="minor"/>
    </font>
    <font>
      <b/>
      <sz val="12"/>
      <color rgb="FFED8A2F"/>
      <name val="Calibri (Body)"/>
    </font>
    <font>
      <sz val="12"/>
      <color theme="1"/>
      <name val="Calibri (Body)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3" fillId="0" borderId="2" xfId="1" applyBorder="1"/>
    <xf numFmtId="0" fontId="0" fillId="0" borderId="6" xfId="0" applyBorder="1"/>
    <xf numFmtId="0" fontId="3" fillId="0" borderId="3" xfId="1" applyBorder="1"/>
    <xf numFmtId="0" fontId="3" fillId="0" borderId="5" xfId="1" applyBorder="1"/>
    <xf numFmtId="0" fontId="3" fillId="0" borderId="4" xfId="1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4" fillId="0" borderId="0" xfId="0" applyFont="1" applyBorder="1"/>
    <xf numFmtId="0" fontId="2" fillId="0" borderId="4" xfId="0" applyFont="1" applyBorder="1"/>
    <xf numFmtId="0" fontId="2" fillId="0" borderId="0" xfId="0" applyFont="1"/>
    <xf numFmtId="0" fontId="8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0" fillId="0" borderId="2" xfId="0" applyBorder="1"/>
    <xf numFmtId="0" fontId="3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colors>
    <mruColors>
      <color rgb="FFED8A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about:blank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workbookViewId="0"/>
  </sheetViews>
  <sheetFormatPr baseColWidth="10" defaultRowHeight="16" x14ac:dyDescent="0.2"/>
  <sheetData>
    <row r="2" spans="2:10" x14ac:dyDescent="0.2">
      <c r="D2" s="27" t="s">
        <v>0</v>
      </c>
      <c r="E2" s="12"/>
      <c r="F2" s="12"/>
      <c r="H2" s="6" t="s">
        <v>32</v>
      </c>
    </row>
    <row r="4" spans="2:10" x14ac:dyDescent="0.2">
      <c r="B4" s="23" t="s">
        <v>56</v>
      </c>
      <c r="C4" s="23"/>
      <c r="D4" s="23"/>
      <c r="E4" s="23"/>
      <c r="F4" s="23"/>
      <c r="G4" s="23"/>
      <c r="H4" s="23"/>
      <c r="I4" s="13" t="s">
        <v>2</v>
      </c>
      <c r="J4" s="13"/>
    </row>
    <row r="5" spans="2:10" x14ac:dyDescent="0.2">
      <c r="B5" s="2"/>
      <c r="C5" s="2"/>
      <c r="D5" s="2"/>
      <c r="E5" s="2"/>
      <c r="F5" s="2"/>
      <c r="G5" s="2"/>
      <c r="H5" s="2"/>
      <c r="I5" s="13" t="s">
        <v>1</v>
      </c>
      <c r="J5" s="13"/>
    </row>
    <row r="7" spans="2:10" x14ac:dyDescent="0.2">
      <c r="B7" s="11" t="s">
        <v>9</v>
      </c>
      <c r="C7" s="11"/>
      <c r="D7" s="11"/>
      <c r="E7" s="11"/>
      <c r="F7" s="11"/>
    </row>
    <row r="8" spans="2:10" x14ac:dyDescent="0.2">
      <c r="B8" s="11" t="s">
        <v>10</v>
      </c>
      <c r="C8" s="11"/>
      <c r="D8" s="11"/>
      <c r="E8" s="11"/>
      <c r="F8" s="11"/>
    </row>
    <row r="10" spans="2:10" x14ac:dyDescent="0.2">
      <c r="B10" s="8" t="s">
        <v>4</v>
      </c>
      <c r="C10" s="10"/>
    </row>
    <row r="12" spans="2:10" s="1" customFormat="1" x14ac:dyDescent="0.2">
      <c r="B12" s="8" t="s">
        <v>48</v>
      </c>
      <c r="C12" s="10"/>
    </row>
    <row r="13" spans="2:10" s="1" customFormat="1" x14ac:dyDescent="0.2"/>
    <row r="14" spans="2:10" x14ac:dyDescent="0.2">
      <c r="B14" s="8" t="s">
        <v>3</v>
      </c>
      <c r="C14" s="9"/>
      <c r="D14" s="10"/>
    </row>
    <row r="16" spans="2:10" x14ac:dyDescent="0.2">
      <c r="B16" s="6" t="s">
        <v>85</v>
      </c>
      <c r="C16" s="1"/>
      <c r="D16" s="1"/>
    </row>
    <row r="18" spans="2:3" x14ac:dyDescent="0.2">
      <c r="B18" s="8" t="s">
        <v>84</v>
      </c>
      <c r="C18" s="10"/>
    </row>
  </sheetData>
  <mergeCells count="10">
    <mergeCell ref="I4:J4"/>
    <mergeCell ref="I5:J5"/>
    <mergeCell ref="B14:D14"/>
    <mergeCell ref="B12:C12"/>
    <mergeCell ref="B18:C18"/>
    <mergeCell ref="B10:C10"/>
    <mergeCell ref="B7:F7"/>
    <mergeCell ref="B8:F8"/>
    <mergeCell ref="D2:F2"/>
    <mergeCell ref="B4:H4"/>
  </mergeCells>
  <hyperlinks>
    <hyperlink ref="H2" location="Sheet2!A1" display="next"/>
    <hyperlink ref="B10" location="Sheet2!A1" display="RECOGNITION"/>
    <hyperlink ref="C10" location="Sheet2!A1" display="Sheet2!A1"/>
    <hyperlink ref="B14" location="Sheet3!A1" display="IMMEDIATE MANAGEMENT"/>
    <hyperlink ref="C14" location="Sheet3!A1" display="Sheet3!A1"/>
    <hyperlink ref="D14" location="Sheet3!A1" display="Sheet3!A1"/>
    <hyperlink ref="B12" location="Sheet6!A1" display="DIFFERENTIAL DIAGNOSIS"/>
    <hyperlink ref="C12" location="Sheet6!A1" display="Sheet6!A1"/>
    <hyperlink ref="B18" location="Sheet7!A1" display="MONITORING"/>
    <hyperlink ref="C18" location="Sheet7!A1" display="Sheet7!A1"/>
    <hyperlink ref="B16" location="Sheet4!A1" display="TREATMEN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baseColWidth="10" defaultRowHeight="16" x14ac:dyDescent="0.2"/>
  <sheetData>
    <row r="1" spans="1:7" x14ac:dyDescent="0.2">
      <c r="A1" s="31"/>
      <c r="G1" s="1"/>
    </row>
    <row r="2" spans="1:7" x14ac:dyDescent="0.2">
      <c r="A2" s="32" t="s">
        <v>86</v>
      </c>
      <c r="D2" s="11" t="s">
        <v>0</v>
      </c>
      <c r="E2" s="11"/>
      <c r="F2" s="11"/>
      <c r="G2" s="32" t="s">
        <v>32</v>
      </c>
    </row>
    <row r="4" spans="1:7" x14ac:dyDescent="0.2">
      <c r="B4" s="28" t="s">
        <v>4</v>
      </c>
      <c r="C4" s="11"/>
    </row>
    <row r="6" spans="1:7" x14ac:dyDescent="0.2">
      <c r="B6" s="11" t="s">
        <v>39</v>
      </c>
      <c r="C6" s="11"/>
      <c r="D6" s="11"/>
      <c r="E6" s="11"/>
    </row>
    <row r="8" spans="1:7" s="1" customFormat="1" x14ac:dyDescent="0.2">
      <c r="B8" s="20" t="s">
        <v>40</v>
      </c>
      <c r="C8" s="21"/>
      <c r="D8" s="21"/>
      <c r="E8" s="22"/>
    </row>
    <row r="9" spans="1:7" x14ac:dyDescent="0.2">
      <c r="B9" s="14" t="s">
        <v>35</v>
      </c>
      <c r="C9" s="13"/>
      <c r="D9" s="13"/>
      <c r="E9" s="16"/>
    </row>
    <row r="10" spans="1:7" x14ac:dyDescent="0.2">
      <c r="B10" s="14" t="s">
        <v>36</v>
      </c>
      <c r="C10" s="13"/>
      <c r="D10" s="13"/>
      <c r="E10" s="16"/>
    </row>
    <row r="11" spans="1:7" x14ac:dyDescent="0.2">
      <c r="B11" s="14" t="s">
        <v>5</v>
      </c>
      <c r="C11" s="13"/>
      <c r="D11" s="13"/>
      <c r="E11" s="16"/>
    </row>
    <row r="12" spans="1:7" x14ac:dyDescent="0.2">
      <c r="B12" s="14" t="s">
        <v>6</v>
      </c>
      <c r="C12" s="13"/>
      <c r="D12" s="13"/>
      <c r="E12" s="16"/>
    </row>
    <row r="13" spans="1:7" x14ac:dyDescent="0.2">
      <c r="B13" s="14" t="s">
        <v>11</v>
      </c>
      <c r="C13" s="13"/>
      <c r="D13" s="13"/>
      <c r="E13" s="16"/>
    </row>
    <row r="14" spans="1:7" x14ac:dyDescent="0.2">
      <c r="B14" s="14" t="s">
        <v>7</v>
      </c>
      <c r="C14" s="13"/>
      <c r="D14" s="13"/>
      <c r="E14" s="16"/>
    </row>
    <row r="15" spans="1:7" x14ac:dyDescent="0.2">
      <c r="B15" s="14" t="s">
        <v>8</v>
      </c>
      <c r="C15" s="13"/>
      <c r="D15" s="13"/>
      <c r="E15" s="16"/>
    </row>
    <row r="16" spans="1:7" s="1" customFormat="1" x14ac:dyDescent="0.2">
      <c r="B16" s="14" t="s">
        <v>37</v>
      </c>
      <c r="C16" s="13"/>
      <c r="D16" s="13"/>
      <c r="E16" s="16"/>
    </row>
    <row r="17" spans="2:5" x14ac:dyDescent="0.2">
      <c r="B17" s="17" t="s">
        <v>38</v>
      </c>
      <c r="C17" s="18"/>
      <c r="D17" s="18"/>
      <c r="E17" s="19"/>
    </row>
    <row r="19" spans="2:5" x14ac:dyDescent="0.2">
      <c r="B19" s="20" t="s">
        <v>41</v>
      </c>
      <c r="C19" s="21"/>
      <c r="D19" s="21"/>
      <c r="E19" s="22"/>
    </row>
    <row r="20" spans="2:5" x14ac:dyDescent="0.2">
      <c r="B20" s="14" t="s">
        <v>42</v>
      </c>
      <c r="C20" s="13"/>
      <c r="D20" s="13"/>
      <c r="E20" s="16"/>
    </row>
    <row r="21" spans="2:5" x14ac:dyDescent="0.2">
      <c r="B21" s="14" t="s">
        <v>43</v>
      </c>
      <c r="C21" s="13"/>
      <c r="D21" s="13"/>
      <c r="E21" s="16"/>
    </row>
    <row r="22" spans="2:5" x14ac:dyDescent="0.2">
      <c r="B22" s="14" t="s">
        <v>44</v>
      </c>
      <c r="C22" s="13"/>
      <c r="D22" s="13"/>
      <c r="E22" s="16"/>
    </row>
    <row r="23" spans="2:5" x14ac:dyDescent="0.2">
      <c r="B23" s="14" t="s">
        <v>45</v>
      </c>
      <c r="C23" s="13"/>
      <c r="D23" s="13"/>
      <c r="E23" s="16"/>
    </row>
    <row r="24" spans="2:5" x14ac:dyDescent="0.2">
      <c r="B24" s="14" t="s">
        <v>46</v>
      </c>
      <c r="C24" s="13"/>
      <c r="D24" s="13"/>
      <c r="E24" s="16"/>
    </row>
    <row r="25" spans="2:5" x14ac:dyDescent="0.2">
      <c r="B25" s="17" t="s">
        <v>47</v>
      </c>
      <c r="C25" s="18"/>
      <c r="D25" s="18"/>
      <c r="E25" s="19"/>
    </row>
  </sheetData>
  <mergeCells count="20">
    <mergeCell ref="B25:E25"/>
    <mergeCell ref="B8:E8"/>
    <mergeCell ref="B9:E9"/>
    <mergeCell ref="B10:E10"/>
    <mergeCell ref="B12:E12"/>
    <mergeCell ref="B13:E13"/>
    <mergeCell ref="B14:E14"/>
    <mergeCell ref="B15:E15"/>
    <mergeCell ref="B16:E16"/>
    <mergeCell ref="B19:E19"/>
    <mergeCell ref="B20:E20"/>
    <mergeCell ref="B21:E21"/>
    <mergeCell ref="B22:E22"/>
    <mergeCell ref="B23:E23"/>
    <mergeCell ref="B24:E24"/>
    <mergeCell ref="B17:E17"/>
    <mergeCell ref="B6:E6"/>
    <mergeCell ref="D2:F2"/>
    <mergeCell ref="B4:C4"/>
    <mergeCell ref="B11:E11"/>
  </mergeCells>
  <hyperlinks>
    <hyperlink ref="A2" location="Sheet1!A1" display="back"/>
    <hyperlink ref="G2" location="Sheet6!A1" display="nex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workbookViewId="0"/>
  </sheetViews>
  <sheetFormatPr baseColWidth="10" defaultRowHeight="16" x14ac:dyDescent="0.2"/>
  <sheetData>
    <row r="2" spans="1:7" x14ac:dyDescent="0.2">
      <c r="A2" s="32" t="s">
        <v>86</v>
      </c>
      <c r="D2" s="11" t="s">
        <v>0</v>
      </c>
      <c r="E2" s="11"/>
      <c r="F2" s="11"/>
      <c r="G2" s="32" t="s">
        <v>32</v>
      </c>
    </row>
    <row r="4" spans="1:7" x14ac:dyDescent="0.2">
      <c r="B4" s="28" t="s">
        <v>3</v>
      </c>
      <c r="C4" s="11"/>
      <c r="D4" s="11"/>
    </row>
    <row r="6" spans="1:7" x14ac:dyDescent="0.2">
      <c r="B6" s="11" t="s">
        <v>12</v>
      </c>
      <c r="C6" s="11"/>
    </row>
    <row r="7" spans="1:7" x14ac:dyDescent="0.2">
      <c r="B7" s="11" t="s">
        <v>14</v>
      </c>
      <c r="C7" s="11"/>
      <c r="D7" s="11"/>
      <c r="E7" s="11"/>
    </row>
    <row r="8" spans="1:7" x14ac:dyDescent="0.2">
      <c r="B8" s="11" t="s">
        <v>13</v>
      </c>
      <c r="C8" s="11"/>
      <c r="D8" s="11"/>
    </row>
    <row r="9" spans="1:7" x14ac:dyDescent="0.2">
      <c r="B9" t="s">
        <v>15</v>
      </c>
    </row>
    <row r="10" spans="1:7" x14ac:dyDescent="0.2">
      <c r="B10" t="s">
        <v>16</v>
      </c>
    </row>
    <row r="11" spans="1:7" x14ac:dyDescent="0.2">
      <c r="B11" t="s">
        <v>17</v>
      </c>
    </row>
    <row r="12" spans="1:7" x14ac:dyDescent="0.2">
      <c r="B12" t="s">
        <v>18</v>
      </c>
    </row>
    <row r="13" spans="1:7" x14ac:dyDescent="0.2">
      <c r="B13" t="s">
        <v>19</v>
      </c>
    </row>
    <row r="14" spans="1:7" x14ac:dyDescent="0.2">
      <c r="B14" t="s">
        <v>20</v>
      </c>
    </row>
  </sheetData>
  <mergeCells count="5">
    <mergeCell ref="D2:F2"/>
    <mergeCell ref="B4:D4"/>
    <mergeCell ref="B7:E7"/>
    <mergeCell ref="B6:C6"/>
    <mergeCell ref="B8:D8"/>
  </mergeCells>
  <hyperlinks>
    <hyperlink ref="A2" location="Sheet6!A1" display="back"/>
    <hyperlink ref="G2" location="Sheet4!A1" display="nex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baseColWidth="10" defaultRowHeight="16" x14ac:dyDescent="0.2"/>
  <sheetData>
    <row r="1" spans="1:7" x14ac:dyDescent="0.2">
      <c r="A1" s="1"/>
      <c r="G1" s="1"/>
    </row>
    <row r="2" spans="1:7" x14ac:dyDescent="0.2">
      <c r="A2" s="32" t="s">
        <v>86</v>
      </c>
      <c r="D2" t="s">
        <v>0</v>
      </c>
      <c r="G2" s="32" t="s">
        <v>32</v>
      </c>
    </row>
    <row r="4" spans="1:7" x14ac:dyDescent="0.2">
      <c r="B4" s="30" t="s">
        <v>83</v>
      </c>
      <c r="C4" s="2"/>
      <c r="D4" s="2"/>
    </row>
    <row r="6" spans="1:7" x14ac:dyDescent="0.2">
      <c r="B6" s="8" t="s">
        <v>21</v>
      </c>
      <c r="C6" s="10"/>
    </row>
    <row r="8" spans="1:7" x14ac:dyDescent="0.2">
      <c r="B8" s="20" t="s">
        <v>60</v>
      </c>
      <c r="C8" s="21"/>
      <c r="D8" s="21"/>
      <c r="E8" s="21"/>
      <c r="F8" s="22"/>
    </row>
    <row r="9" spans="1:7" x14ac:dyDescent="0.2">
      <c r="B9" s="14" t="s">
        <v>58</v>
      </c>
      <c r="C9" s="13"/>
      <c r="D9" s="13"/>
      <c r="E9" s="13"/>
      <c r="F9" s="16"/>
    </row>
    <row r="10" spans="1:7" x14ac:dyDescent="0.2">
      <c r="B10" s="17" t="s">
        <v>59</v>
      </c>
      <c r="C10" s="18"/>
      <c r="D10" s="18"/>
      <c r="E10" s="18"/>
      <c r="F10" s="19"/>
    </row>
    <row r="12" spans="1:7" x14ac:dyDescent="0.2">
      <c r="B12" s="8" t="s">
        <v>61</v>
      </c>
      <c r="C12" s="10"/>
    </row>
    <row r="14" spans="1:7" x14ac:dyDescent="0.2">
      <c r="B14" s="20" t="s">
        <v>62</v>
      </c>
      <c r="C14" s="21"/>
      <c r="D14" s="22"/>
    </row>
    <row r="15" spans="1:7" x14ac:dyDescent="0.2">
      <c r="B15" s="14" t="s">
        <v>63</v>
      </c>
      <c r="C15" s="13"/>
      <c r="D15" s="16"/>
    </row>
    <row r="16" spans="1:7" x14ac:dyDescent="0.2">
      <c r="B16" s="17" t="s">
        <v>64</v>
      </c>
      <c r="C16" s="18"/>
      <c r="D16" s="19"/>
    </row>
    <row r="18" spans="2:6" x14ac:dyDescent="0.2">
      <c r="B18" s="20" t="s">
        <v>65</v>
      </c>
      <c r="C18" s="21"/>
      <c r="D18" s="22"/>
    </row>
    <row r="19" spans="2:6" x14ac:dyDescent="0.2">
      <c r="B19" s="14" t="s">
        <v>66</v>
      </c>
      <c r="C19" s="13"/>
      <c r="D19" s="16"/>
    </row>
    <row r="20" spans="2:6" x14ac:dyDescent="0.2">
      <c r="B20" s="17" t="s">
        <v>67</v>
      </c>
      <c r="C20" s="18"/>
      <c r="D20" s="19"/>
    </row>
    <row r="22" spans="2:6" x14ac:dyDescent="0.2">
      <c r="B22" s="20" t="s">
        <v>68</v>
      </c>
      <c r="C22" s="21"/>
      <c r="D22" s="21"/>
      <c r="E22" s="21"/>
      <c r="F22" s="22"/>
    </row>
    <row r="23" spans="2:6" x14ac:dyDescent="0.2">
      <c r="B23" s="14" t="s">
        <v>69</v>
      </c>
      <c r="C23" s="13"/>
      <c r="D23" s="13"/>
      <c r="E23" s="13"/>
      <c r="F23" s="16"/>
    </row>
    <row r="24" spans="2:6" x14ac:dyDescent="0.2">
      <c r="B24" s="17" t="s">
        <v>70</v>
      </c>
      <c r="C24" s="18"/>
      <c r="D24" s="18"/>
      <c r="E24" s="18"/>
      <c r="F24" s="19"/>
    </row>
    <row r="26" spans="2:6" x14ac:dyDescent="0.2">
      <c r="B26" s="20" t="s">
        <v>71</v>
      </c>
      <c r="C26" s="22"/>
    </row>
    <row r="27" spans="2:6" x14ac:dyDescent="0.2">
      <c r="B27" s="17" t="s">
        <v>72</v>
      </c>
      <c r="C27" s="19"/>
    </row>
    <row r="29" spans="2:6" x14ac:dyDescent="0.2">
      <c r="B29" s="2"/>
      <c r="C29" s="2"/>
      <c r="D29" s="2"/>
    </row>
    <row r="30" spans="2:6" s="1" customFormat="1" x14ac:dyDescent="0.2">
      <c r="B30" s="2"/>
      <c r="C30" s="2"/>
      <c r="D30" s="2"/>
    </row>
    <row r="31" spans="2:6" s="1" customFormat="1" x14ac:dyDescent="0.2">
      <c r="B31" s="2"/>
      <c r="C31" s="2"/>
      <c r="D31" s="2"/>
    </row>
    <row r="32" spans="2:6" s="1" customFormat="1" x14ac:dyDescent="0.2">
      <c r="B32" s="2"/>
      <c r="C32" s="2"/>
      <c r="D32" s="2"/>
    </row>
    <row r="33" spans="2:4" s="1" customFormat="1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</sheetData>
  <mergeCells count="16">
    <mergeCell ref="B27:C27"/>
    <mergeCell ref="B23:F23"/>
    <mergeCell ref="B26:C26"/>
    <mergeCell ref="B19:D19"/>
    <mergeCell ref="B20:D20"/>
    <mergeCell ref="B22:F22"/>
    <mergeCell ref="B24:F24"/>
    <mergeCell ref="B6:C6"/>
    <mergeCell ref="B12:C12"/>
    <mergeCell ref="B18:D18"/>
    <mergeCell ref="B15:D15"/>
    <mergeCell ref="B8:F8"/>
    <mergeCell ref="B9:F9"/>
    <mergeCell ref="B10:F10"/>
    <mergeCell ref="B14:D14"/>
    <mergeCell ref="B16:D16"/>
  </mergeCells>
  <hyperlinks>
    <hyperlink ref="B6" location="Sheet5!A1" display="DANTROLENE"/>
    <hyperlink ref="C6" location="Sheet5!A1" display="Sheet5!A1"/>
    <hyperlink ref="B12" r:id="rId1"/>
    <hyperlink ref="C12" r:id="rId2" display="hyperK.xlsx"/>
    <hyperlink ref="G2" location="Sheet5!A1" display="next"/>
    <hyperlink ref="A2" location="Sheet6!A1" display="back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/>
  </sheetViews>
  <sheetFormatPr baseColWidth="10" defaultRowHeight="16" x14ac:dyDescent="0.2"/>
  <sheetData>
    <row r="2" spans="1:7" x14ac:dyDescent="0.2">
      <c r="A2" s="32" t="s">
        <v>86</v>
      </c>
      <c r="D2" s="11" t="s">
        <v>0</v>
      </c>
      <c r="E2" s="11"/>
      <c r="F2" s="11"/>
      <c r="G2" s="32" t="s">
        <v>87</v>
      </c>
    </row>
    <row r="4" spans="1:7" x14ac:dyDescent="0.2">
      <c r="B4" s="29" t="s">
        <v>73</v>
      </c>
      <c r="C4" s="21"/>
      <c r="D4" s="22"/>
    </row>
    <row r="5" spans="1:7" x14ac:dyDescent="0.2">
      <c r="B5" s="7" t="s">
        <v>74</v>
      </c>
      <c r="C5" s="2"/>
      <c r="D5" s="15"/>
    </row>
    <row r="6" spans="1:7" x14ac:dyDescent="0.2">
      <c r="B6" s="14" t="s">
        <v>75</v>
      </c>
      <c r="C6" s="13"/>
      <c r="D6" s="16"/>
    </row>
    <row r="7" spans="1:7" x14ac:dyDescent="0.2">
      <c r="B7" s="14" t="s">
        <v>76</v>
      </c>
      <c r="C7" s="13"/>
      <c r="D7" s="16"/>
    </row>
    <row r="8" spans="1:7" x14ac:dyDescent="0.2">
      <c r="B8" s="14" t="s">
        <v>77</v>
      </c>
      <c r="C8" s="13"/>
      <c r="D8" s="16"/>
    </row>
    <row r="9" spans="1:7" x14ac:dyDescent="0.2">
      <c r="B9" s="14" t="s">
        <v>78</v>
      </c>
      <c r="C9" s="13"/>
      <c r="D9" s="16"/>
    </row>
    <row r="10" spans="1:7" x14ac:dyDescent="0.2">
      <c r="B10" s="14" t="s">
        <v>79</v>
      </c>
      <c r="C10" s="13"/>
      <c r="D10" s="16"/>
    </row>
    <row r="11" spans="1:7" x14ac:dyDescent="0.2">
      <c r="B11" s="14" t="s">
        <v>80</v>
      </c>
      <c r="C11" s="13"/>
      <c r="D11" s="16"/>
    </row>
    <row r="12" spans="1:7" x14ac:dyDescent="0.2">
      <c r="B12" s="14" t="s">
        <v>81</v>
      </c>
      <c r="C12" s="13"/>
      <c r="D12" s="16"/>
    </row>
    <row r="13" spans="1:7" x14ac:dyDescent="0.2">
      <c r="B13" s="17" t="s">
        <v>82</v>
      </c>
      <c r="C13" s="18"/>
      <c r="D13" s="19"/>
    </row>
  </sheetData>
  <mergeCells count="10">
    <mergeCell ref="B11:D11"/>
    <mergeCell ref="B12:D12"/>
    <mergeCell ref="B13:D13"/>
    <mergeCell ref="D2:F2"/>
    <mergeCell ref="B4:D4"/>
    <mergeCell ref="B6:D6"/>
    <mergeCell ref="B7:D7"/>
    <mergeCell ref="B8:D8"/>
    <mergeCell ref="B9:D9"/>
    <mergeCell ref="B10:D10"/>
  </mergeCells>
  <hyperlinks>
    <hyperlink ref="A2" location="Sheet4!A1" display="back"/>
    <hyperlink ref="G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workbookViewId="0">
      <selection activeCell="I24" sqref="I24"/>
    </sheetView>
  </sheetViews>
  <sheetFormatPr baseColWidth="10" defaultRowHeight="16" x14ac:dyDescent="0.2"/>
  <sheetData>
    <row r="2" spans="1:9" x14ac:dyDescent="0.2">
      <c r="A2" s="32" t="s">
        <v>86</v>
      </c>
      <c r="D2" t="s">
        <v>0</v>
      </c>
      <c r="G2" s="32" t="s">
        <v>32</v>
      </c>
    </row>
    <row r="4" spans="1:9" x14ac:dyDescent="0.2">
      <c r="B4" s="28" t="s">
        <v>28</v>
      </c>
      <c r="C4" s="11"/>
    </row>
    <row r="5" spans="1:9" x14ac:dyDescent="0.2">
      <c r="B5" t="s">
        <v>29</v>
      </c>
    </row>
    <row r="6" spans="1:9" x14ac:dyDescent="0.2">
      <c r="B6" t="s">
        <v>30</v>
      </c>
    </row>
    <row r="7" spans="1:9" x14ac:dyDescent="0.2">
      <c r="B7" t="s">
        <v>31</v>
      </c>
    </row>
    <row r="8" spans="1:9" ht="17" thickBot="1" x14ac:dyDescent="0.25"/>
    <row r="9" spans="1:9" ht="17" thickBot="1" x14ac:dyDescent="0.25">
      <c r="B9" s="11" t="s">
        <v>22</v>
      </c>
      <c r="C9" s="11"/>
      <c r="D9" s="3">
        <v>10</v>
      </c>
    </row>
    <row r="11" spans="1:9" x14ac:dyDescent="0.2">
      <c r="B11" s="11" t="s">
        <v>24</v>
      </c>
      <c r="C11" s="11"/>
      <c r="D11" s="11"/>
      <c r="E11" s="11" t="s">
        <v>25</v>
      </c>
      <c r="F11" s="11"/>
      <c r="G11" s="26">
        <f>D9*2.5</f>
        <v>25</v>
      </c>
      <c r="H11" s="24" t="s">
        <v>23</v>
      </c>
      <c r="I11" s="25" t="s">
        <v>26</v>
      </c>
    </row>
    <row r="15" spans="1:9" x14ac:dyDescent="0.2">
      <c r="B15" s="11" t="s">
        <v>27</v>
      </c>
      <c r="C15" s="11"/>
      <c r="D15" s="11"/>
      <c r="E15" s="4">
        <f>1*D9</f>
        <v>10</v>
      </c>
      <c r="F15" s="5" t="s">
        <v>23</v>
      </c>
      <c r="G15" s="14" t="s">
        <v>33</v>
      </c>
      <c r="H15" s="13"/>
    </row>
    <row r="16" spans="1:9" s="1" customFormat="1" x14ac:dyDescent="0.2">
      <c r="B16" s="11" t="s">
        <v>57</v>
      </c>
      <c r="C16" s="11"/>
      <c r="E16" s="2"/>
      <c r="F16" s="2"/>
      <c r="G16" s="2"/>
      <c r="H16" s="2"/>
    </row>
    <row r="17" spans="2:7" x14ac:dyDescent="0.2">
      <c r="B17" s="11" t="s">
        <v>34</v>
      </c>
      <c r="C17" s="11"/>
      <c r="D17" s="11"/>
      <c r="E17" s="11"/>
      <c r="F17" s="11"/>
      <c r="G17" s="11"/>
    </row>
  </sheetData>
  <mergeCells count="8">
    <mergeCell ref="B4:C4"/>
    <mergeCell ref="B17:G17"/>
    <mergeCell ref="B9:C9"/>
    <mergeCell ref="E11:F11"/>
    <mergeCell ref="B11:D11"/>
    <mergeCell ref="B15:D15"/>
    <mergeCell ref="G15:H15"/>
    <mergeCell ref="B16:C16"/>
  </mergeCells>
  <hyperlinks>
    <hyperlink ref="A2" location="Sheet4!A1" display="back"/>
    <hyperlink ref="G2" location="Sheet7!A1" display="nex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tabSelected="1" workbookViewId="0">
      <selection activeCell="H23" sqref="H23"/>
    </sheetView>
  </sheetViews>
  <sheetFormatPr baseColWidth="10" defaultRowHeight="16" x14ac:dyDescent="0.2"/>
  <sheetData>
    <row r="2" spans="1:7" x14ac:dyDescent="0.2">
      <c r="A2" s="32" t="s">
        <v>86</v>
      </c>
      <c r="D2" s="11" t="s">
        <v>0</v>
      </c>
      <c r="E2" s="11"/>
      <c r="F2" s="11"/>
      <c r="G2" s="32" t="s">
        <v>32</v>
      </c>
    </row>
    <row r="4" spans="1:7" x14ac:dyDescent="0.2">
      <c r="B4" s="29" t="s">
        <v>48</v>
      </c>
      <c r="C4" s="21"/>
      <c r="D4" s="21"/>
      <c r="E4" s="21"/>
      <c r="F4" s="22"/>
    </row>
    <row r="5" spans="1:7" x14ac:dyDescent="0.2">
      <c r="B5" s="14" t="s">
        <v>49</v>
      </c>
      <c r="C5" s="13"/>
      <c r="D5" s="13"/>
      <c r="E5" s="13"/>
      <c r="F5" s="16"/>
    </row>
    <row r="6" spans="1:7" x14ac:dyDescent="0.2">
      <c r="B6" s="14" t="s">
        <v>52</v>
      </c>
      <c r="C6" s="13"/>
      <c r="D6" s="13"/>
      <c r="E6" s="13"/>
      <c r="F6" s="16"/>
    </row>
    <row r="7" spans="1:7" x14ac:dyDescent="0.2">
      <c r="B7" s="14" t="s">
        <v>53</v>
      </c>
      <c r="C7" s="13"/>
      <c r="D7" s="13"/>
      <c r="E7" s="13"/>
      <c r="F7" s="16"/>
    </row>
    <row r="8" spans="1:7" x14ac:dyDescent="0.2">
      <c r="B8" s="14" t="s">
        <v>54</v>
      </c>
      <c r="C8" s="13"/>
      <c r="D8" s="13"/>
      <c r="E8" s="13"/>
      <c r="F8" s="16"/>
    </row>
    <row r="9" spans="1:7" x14ac:dyDescent="0.2">
      <c r="B9" s="14" t="s">
        <v>55</v>
      </c>
      <c r="C9" s="13"/>
      <c r="D9" s="13"/>
      <c r="E9" s="13"/>
      <c r="F9" s="16"/>
    </row>
    <row r="10" spans="1:7" x14ac:dyDescent="0.2">
      <c r="B10" s="14" t="s">
        <v>50</v>
      </c>
      <c r="C10" s="13"/>
      <c r="D10" s="13"/>
      <c r="E10" s="13"/>
      <c r="F10" s="16"/>
    </row>
    <row r="11" spans="1:7" x14ac:dyDescent="0.2">
      <c r="B11" s="17" t="s">
        <v>51</v>
      </c>
      <c r="C11" s="18"/>
      <c r="D11" s="18"/>
      <c r="E11" s="18"/>
      <c r="F11" s="19"/>
    </row>
  </sheetData>
  <mergeCells count="9">
    <mergeCell ref="B11:F11"/>
    <mergeCell ref="B6:F6"/>
    <mergeCell ref="B7:F7"/>
    <mergeCell ref="B8:F8"/>
    <mergeCell ref="B9:F9"/>
    <mergeCell ref="B10:F10"/>
    <mergeCell ref="D2:F2"/>
    <mergeCell ref="B4:F4"/>
    <mergeCell ref="B5:F5"/>
  </mergeCells>
  <hyperlinks>
    <hyperlink ref="A2" location="Sheet2!A1" display="back"/>
    <hyperlink ref="G2" location="Sheet3!A1" display="nex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Sheet7</vt:lpstr>
      <vt:lpstr>Sheet5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Tan</dc:creator>
  <cp:lastModifiedBy>Jo Tan</cp:lastModifiedBy>
  <dcterms:created xsi:type="dcterms:W3CDTF">2016-10-21T06:57:41Z</dcterms:created>
  <dcterms:modified xsi:type="dcterms:W3CDTF">2016-11-21T02:13:09Z</dcterms:modified>
</cp:coreProperties>
</file>